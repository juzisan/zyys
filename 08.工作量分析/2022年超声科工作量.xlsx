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500" activeTab="10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  <sheet name="全年" sheetId="13" r:id="rId13"/>
  </sheets>
  <definedNames>
    <definedName name="_xlnm._FilterDatabase" localSheetId="12" hidden="1">全年!$A$1:$X$32</definedName>
    <definedName name="_xlnm.Print_Area" localSheetId="0">'1月'!$A$1:$V$31</definedName>
  </definedNames>
  <calcPr calcId="144525"/>
</workbook>
</file>

<file path=xl/sharedStrings.xml><?xml version="1.0" encoding="utf-8"?>
<sst xmlns="http://schemas.openxmlformats.org/spreadsheetml/2006/main" count="747" uniqueCount="73">
  <si>
    <t>2022年1月超声工作量</t>
  </si>
  <si>
    <t>姓名</t>
  </si>
  <si>
    <t>体检例数</t>
  </si>
  <si>
    <t>腔内超声检查</t>
  </si>
  <si>
    <t>图文报告</t>
  </si>
  <si>
    <t>超声检查正常(包括双胎)</t>
  </si>
  <si>
    <t>双胎加收</t>
  </si>
  <si>
    <r>
      <rPr>
        <b/>
        <sz val="11"/>
        <color indexed="8"/>
        <rFont val="宋体"/>
        <charset val="134"/>
      </rPr>
      <t>脏器灰阶立体成象</t>
    </r>
    <r>
      <rPr>
        <b/>
        <sz val="11"/>
        <color rgb="FFFF0000"/>
        <rFont val="宋体"/>
        <charset val="134"/>
      </rPr>
      <t>*2</t>
    </r>
  </si>
  <si>
    <r>
      <rPr>
        <b/>
        <sz val="11"/>
        <color indexed="8"/>
        <rFont val="宋体"/>
        <charset val="134"/>
      </rPr>
      <t xml:space="preserve">超声检查(胎儿系统)
</t>
    </r>
    <r>
      <rPr>
        <b/>
        <sz val="11"/>
        <color rgb="FFFF0000"/>
        <rFont val="宋体"/>
        <charset val="134"/>
      </rPr>
      <t>*3</t>
    </r>
  </si>
  <si>
    <r>
      <rPr>
        <b/>
        <sz val="11"/>
        <color indexed="8"/>
        <rFont val="宋体"/>
        <charset val="134"/>
      </rPr>
      <t xml:space="preserve">胎儿心脏超声
</t>
    </r>
    <r>
      <rPr>
        <b/>
        <sz val="11"/>
        <color rgb="FFFF0000"/>
        <rFont val="宋体"/>
        <charset val="134"/>
      </rPr>
      <t>*3</t>
    </r>
  </si>
  <si>
    <t>残余尿测定</t>
  </si>
  <si>
    <r>
      <rPr>
        <b/>
        <sz val="11"/>
        <color indexed="8"/>
        <rFont val="宋体"/>
        <charset val="134"/>
      </rPr>
      <t xml:space="preserve">床旁彩超
</t>
    </r>
    <r>
      <rPr>
        <b/>
        <sz val="11"/>
        <color rgb="FFFF0000"/>
        <rFont val="宋体"/>
        <charset val="134"/>
      </rPr>
      <t>*6</t>
    </r>
  </si>
  <si>
    <r>
      <rPr>
        <b/>
        <sz val="11"/>
        <color indexed="8"/>
        <rFont val="宋体"/>
        <charset val="134"/>
      </rPr>
      <t xml:space="preserve">床旁彩超加收
</t>
    </r>
    <r>
      <rPr>
        <b/>
        <sz val="11"/>
        <color rgb="FFFF0000"/>
        <rFont val="宋体"/>
        <charset val="134"/>
      </rPr>
      <t>*5</t>
    </r>
  </si>
  <si>
    <t>B超常规检</t>
  </si>
  <si>
    <r>
      <rPr>
        <b/>
        <sz val="11"/>
        <color indexed="8"/>
        <rFont val="宋体"/>
        <charset val="134"/>
      </rPr>
      <t xml:space="preserve">脏器声学造影
</t>
    </r>
    <r>
      <rPr>
        <b/>
        <sz val="11"/>
        <color rgb="FFFF0000"/>
        <rFont val="宋体"/>
        <charset val="134"/>
      </rPr>
      <t>*5</t>
    </r>
  </si>
  <si>
    <r>
      <rPr>
        <b/>
        <sz val="11"/>
        <color indexed="8"/>
        <rFont val="宋体"/>
        <charset val="134"/>
      </rPr>
      <t>临床操作超声引导</t>
    </r>
    <r>
      <rPr>
        <b/>
        <sz val="11"/>
        <color rgb="FFFF0000"/>
        <rFont val="宋体"/>
        <charset val="134"/>
      </rPr>
      <t>*5</t>
    </r>
  </si>
  <si>
    <t>弹性成像</t>
  </si>
  <si>
    <t>误时工作量例数</t>
  </si>
  <si>
    <t>疑难病例会诊例数</t>
  </si>
  <si>
    <t>夜班例数</t>
  </si>
  <si>
    <t>扣罚金额</t>
  </si>
  <si>
    <t>门住工作量合计</t>
  </si>
  <si>
    <t xml:space="preserve">门住体工作量合计
</t>
  </si>
  <si>
    <t>绩效工作量</t>
  </si>
  <si>
    <t>门住收入合计</t>
  </si>
  <si>
    <t>门住体总收入合计</t>
  </si>
  <si>
    <t>50-500</t>
  </si>
  <si>
    <t>信吉伟</t>
  </si>
  <si>
    <t>刘思阳</t>
  </si>
  <si>
    <t>邢卫军</t>
  </si>
  <si>
    <t>姜纯莲</t>
  </si>
  <si>
    <t>王漠璇</t>
  </si>
  <si>
    <t>汪亚新</t>
  </si>
  <si>
    <t>李双生</t>
  </si>
  <si>
    <t>董宝玲</t>
  </si>
  <si>
    <t>周晓丽</t>
  </si>
  <si>
    <t>刘炜</t>
  </si>
  <si>
    <t>刘涛</t>
  </si>
  <si>
    <t>朱凯</t>
  </si>
  <si>
    <t>李晓莹</t>
  </si>
  <si>
    <t>孟凡伟</t>
  </si>
  <si>
    <t>王桐</t>
  </si>
  <si>
    <t>程日</t>
  </si>
  <si>
    <t>洪森</t>
  </si>
  <si>
    <t>马延梁</t>
  </si>
  <si>
    <t>史嘉琳</t>
  </si>
  <si>
    <t>孙承飞</t>
  </si>
  <si>
    <t>赵希平</t>
  </si>
  <si>
    <t>李楠</t>
  </si>
  <si>
    <t>李嘉鹏</t>
  </si>
  <si>
    <t>韩天福</t>
  </si>
  <si>
    <t>刘海燕</t>
  </si>
  <si>
    <t>工作量合计</t>
  </si>
  <si>
    <t>收入合计</t>
  </si>
  <si>
    <t>-</t>
  </si>
  <si>
    <t>2022年2月超声工作量</t>
  </si>
  <si>
    <t>姚静雯</t>
  </si>
  <si>
    <t>2022年3月超声工作量</t>
  </si>
  <si>
    <t>2022年4月超声工作量</t>
  </si>
  <si>
    <t>2022年5月超声工作量</t>
  </si>
  <si>
    <t>2022年6月超声工作量</t>
  </si>
  <si>
    <t>王雪彤</t>
  </si>
  <si>
    <t>2022年7月超声工作量</t>
  </si>
  <si>
    <t>2022年8月超声工作量</t>
  </si>
  <si>
    <t>2022年9月超声工作量</t>
  </si>
  <si>
    <r>
      <rPr>
        <b/>
        <sz val="11"/>
        <color rgb="FF000000"/>
        <rFont val="宋体"/>
        <charset val="134"/>
      </rPr>
      <t xml:space="preserve">介入操作
</t>
    </r>
    <r>
      <rPr>
        <b/>
        <sz val="11"/>
        <color rgb="FFFF0000"/>
        <rFont val="宋体"/>
        <charset val="134"/>
      </rPr>
      <t>*10</t>
    </r>
  </si>
  <si>
    <t>2022年10月超声工作量</t>
  </si>
  <si>
    <t>于文康</t>
  </si>
  <si>
    <t>沈思宇</t>
  </si>
  <si>
    <t>冯越</t>
  </si>
  <si>
    <t>2022年11月超声工作量</t>
  </si>
  <si>
    <t>2022年12月超声工作量</t>
  </si>
  <si>
    <t>2022年超声工作量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</si>
</sst>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0"/>
      <color rgb="FFFF0000"/>
      <name val="宋体"/>
      <charset val="134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7998596148564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14" borderId="12" applyNumberFormat="0" applyAlignment="0" applyProtection="0">
      <alignment vertical="center"/>
    </xf>
    <xf numFmtId="0" fontId="27" fillId="14" borderId="8" applyNumberFormat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5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/>
    <xf numFmtId="0" fontId="4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 applyProtection="1">
      <alignment horizontal="center" vertical="center" wrapText="1"/>
    </xf>
    <xf numFmtId="49" fontId="7" fillId="3" borderId="2" xfId="49" applyNumberFormat="1" applyFont="1" applyFill="1" applyBorder="1" applyAlignment="1" applyProtection="1">
      <alignment horizontal="center" vertical="center" wrapText="1"/>
    </xf>
    <xf numFmtId="49" fontId="4" fillId="4" borderId="3" xfId="0" applyNumberFormat="1" applyFont="1" applyFill="1" applyBorder="1" applyAlignment="1" applyProtection="1">
      <alignment horizontal="center" vertical="center" wrapText="1"/>
    </xf>
    <xf numFmtId="49" fontId="4" fillId="3" borderId="2" xfId="0" applyNumberFormat="1" applyFont="1" applyFill="1" applyBorder="1" applyAlignment="1" applyProtection="1">
      <alignment horizontal="center" vertical="center" wrapText="1"/>
    </xf>
    <xf numFmtId="49" fontId="3" fillId="2" borderId="1" xfId="49" applyNumberFormat="1" applyFont="1" applyFill="1" applyBorder="1" applyAlignment="1" applyProtection="1">
      <alignment horizontal="center" vertical="center" wrapText="1"/>
    </xf>
    <xf numFmtId="49" fontId="8" fillId="2" borderId="1" xfId="49" applyNumberFormat="1" applyFont="1" applyFill="1" applyBorder="1" applyAlignment="1" applyProtection="1">
      <alignment horizontal="center" vertical="center" wrapText="1"/>
    </xf>
    <xf numFmtId="49" fontId="7" fillId="3" borderId="4" xfId="49" applyNumberFormat="1" applyFont="1" applyFill="1" applyBorder="1" applyAlignment="1" applyProtection="1">
      <alignment horizontal="center" vertical="center" wrapText="1"/>
    </xf>
    <xf numFmtId="49" fontId="4" fillId="4" borderId="4" xfId="0" applyNumberFormat="1" applyFont="1" applyFill="1" applyBorder="1" applyAlignment="1" applyProtection="1">
      <alignment horizontal="center" vertical="center" wrapText="1"/>
    </xf>
    <xf numFmtId="49" fontId="4" fillId="3" borderId="4" xfId="0" applyNumberFormat="1" applyFont="1" applyFill="1" applyBorder="1" applyAlignment="1" applyProtection="1">
      <alignment horizontal="center" vertical="center" wrapText="1"/>
    </xf>
    <xf numFmtId="0" fontId="6" fillId="0" borderId="1" xfId="49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12" fillId="2" borderId="1" xfId="49" applyNumberFormat="1" applyFont="1" applyFill="1" applyBorder="1" applyAlignment="1" applyProtection="1">
      <alignment horizontal="center" vertical="center" wrapText="1"/>
    </xf>
    <xf numFmtId="49" fontId="2" fillId="2" borderId="4" xfId="49" applyNumberFormat="1" applyFont="1" applyFill="1" applyBorder="1" applyAlignment="1" applyProtection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49" applyNumberFormat="1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1" fillId="0" borderId="1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49" fontId="2" fillId="2" borderId="1" xfId="49" applyNumberFormat="1" applyFont="1" applyFill="1" applyBorder="1" applyAlignment="1" applyProtection="1">
      <alignment horizontal="center" wrapText="1"/>
    </xf>
    <xf numFmtId="0" fontId="10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3"/>
  <sheetViews>
    <sheetView workbookViewId="0">
      <selection activeCell="A28" sqref="A28"/>
    </sheetView>
  </sheetViews>
  <sheetFormatPr defaultColWidth="9.625" defaultRowHeight="13.5"/>
  <cols>
    <col min="1" max="1" width="9.625" style="47"/>
    <col min="2" max="6" width="6.625" style="47" customWidth="1"/>
    <col min="7" max="7" width="5.875" style="47" customWidth="1"/>
    <col min="8" max="20" width="6.625" style="47" customWidth="1"/>
    <col min="21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47"/>
  </cols>
  <sheetData>
    <row r="1" ht="30.75" customHeight="1" spans="1: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4"/>
    </row>
    <row r="2" ht="77.25" customHeight="1" spans="1:2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50" t="s">
        <v>7</v>
      </c>
      <c r="H2" s="51" t="s">
        <v>8</v>
      </c>
      <c r="I2" s="51" t="s">
        <v>9</v>
      </c>
      <c r="J2" s="7" t="s">
        <v>10</v>
      </c>
      <c r="K2" s="51" t="s">
        <v>11</v>
      </c>
      <c r="L2" s="51" t="s">
        <v>12</v>
      </c>
      <c r="M2" s="16" t="s">
        <v>13</v>
      </c>
      <c r="N2" s="51" t="s">
        <v>14</v>
      </c>
      <c r="O2" s="51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ht="21" customHeight="1" spans="1:25">
      <c r="A4" s="13" t="s">
        <v>27</v>
      </c>
      <c r="B4" s="11">
        <v>970</v>
      </c>
      <c r="C4" s="11">
        <v>32</v>
      </c>
      <c r="D4" s="11">
        <v>312</v>
      </c>
      <c r="E4" s="11">
        <v>255</v>
      </c>
      <c r="F4" s="11"/>
      <c r="G4" s="11">
        <v>118</v>
      </c>
      <c r="H4" s="11">
        <v>22</v>
      </c>
      <c r="I4" s="11"/>
      <c r="J4" s="11">
        <v>5</v>
      </c>
      <c r="K4" s="11"/>
      <c r="L4" s="11"/>
      <c r="M4" s="11"/>
      <c r="N4" s="11">
        <v>4</v>
      </c>
      <c r="O4" s="11">
        <v>38</v>
      </c>
      <c r="P4" s="11"/>
      <c r="Q4" s="53"/>
      <c r="R4" s="42"/>
      <c r="S4" s="42"/>
      <c r="T4" s="42"/>
      <c r="U4" s="25">
        <f t="shared" ref="U4:U29" si="0">SUM(C4:P4)-D4</f>
        <v>474</v>
      </c>
      <c r="V4" s="25">
        <f t="shared" ref="V4:V31" si="1">SUM(B4:P4)-D4</f>
        <v>1444</v>
      </c>
      <c r="W4" s="26">
        <f t="shared" ref="W4:W28" si="2">B4+C4+E4+F4+G4*2+H4*3+I4*3+J4+K4*6+L4*5+M4+N4*5+O4*5+P4+Q4</f>
        <v>1774</v>
      </c>
      <c r="X4" s="27">
        <f t="shared" ref="X4:X30" si="3">C4*$C$3+D4*$D$3+E4*$E$3+F4*$F$3+G4*$G$3+H4*$H$3+I4*$I$3+J4*$J$3+K4*$K$3+L4*$L$3+M4*$M$3+N4*$N$3+O4*$O$3+P4*$P$3</f>
        <v>75438</v>
      </c>
      <c r="Y4" s="27">
        <f t="shared" ref="Y4:Y31" si="4">B4*99+C4*$C$3+D4*$D$3+E4*$E$3+F4*$F$3+G4*$G$3+H4*$H$3+I4*$I$3+J4*$J$3+K4*$K$3+L4*$L$3+M4*$M$3+N4*$N$3+O4*$O$3+P4*$P$3</f>
        <v>171468</v>
      </c>
    </row>
    <row r="5" ht="21" customHeight="1" spans="1:25">
      <c r="A5" s="13" t="s">
        <v>28</v>
      </c>
      <c r="B5" s="11">
        <v>335</v>
      </c>
      <c r="C5" s="11"/>
      <c r="D5" s="11">
        <v>424</v>
      </c>
      <c r="E5" s="11">
        <v>412</v>
      </c>
      <c r="F5" s="11"/>
      <c r="G5" s="11">
        <v>81</v>
      </c>
      <c r="H5" s="11"/>
      <c r="I5" s="11"/>
      <c r="J5" s="11">
        <v>18</v>
      </c>
      <c r="K5" s="11"/>
      <c r="L5" s="11"/>
      <c r="M5" s="11"/>
      <c r="N5" s="11"/>
      <c r="O5" s="11"/>
      <c r="P5" s="11"/>
      <c r="Q5" s="40"/>
      <c r="R5" s="40"/>
      <c r="S5" s="40"/>
      <c r="T5" s="40"/>
      <c r="U5" s="25">
        <f t="shared" si="0"/>
        <v>511</v>
      </c>
      <c r="V5" s="25">
        <f t="shared" si="1"/>
        <v>846</v>
      </c>
      <c r="W5" s="26">
        <f t="shared" si="2"/>
        <v>927</v>
      </c>
      <c r="X5" s="27">
        <f t="shared" si="3"/>
        <v>65494</v>
      </c>
      <c r="Y5" s="27">
        <f t="shared" si="4"/>
        <v>98659</v>
      </c>
    </row>
    <row r="6" ht="21" customHeight="1" spans="1:25">
      <c r="A6" s="13" t="s">
        <v>29</v>
      </c>
      <c r="B6" s="11">
        <v>375</v>
      </c>
      <c r="C6" s="11">
        <v>83</v>
      </c>
      <c r="D6" s="11">
        <v>471</v>
      </c>
      <c r="E6" s="11">
        <v>345</v>
      </c>
      <c r="F6" s="11"/>
      <c r="G6" s="11">
        <v>125</v>
      </c>
      <c r="H6" s="11"/>
      <c r="I6" s="11"/>
      <c r="J6" s="11">
        <v>5</v>
      </c>
      <c r="K6" s="11">
        <v>8</v>
      </c>
      <c r="L6" s="11"/>
      <c r="M6" s="11"/>
      <c r="N6" s="11"/>
      <c r="O6" s="11"/>
      <c r="P6" s="11"/>
      <c r="Q6" s="40"/>
      <c r="R6" s="40"/>
      <c r="S6" s="40"/>
      <c r="T6" s="40"/>
      <c r="U6" s="25">
        <f t="shared" si="0"/>
        <v>566</v>
      </c>
      <c r="V6" s="25">
        <f t="shared" si="1"/>
        <v>941</v>
      </c>
      <c r="W6" s="26">
        <f t="shared" si="2"/>
        <v>1106</v>
      </c>
      <c r="X6" s="27">
        <f t="shared" si="3"/>
        <v>82032.5</v>
      </c>
      <c r="Y6" s="27">
        <f t="shared" si="4"/>
        <v>119157.5</v>
      </c>
    </row>
    <row r="7" ht="21" customHeight="1" spans="1:25">
      <c r="A7" s="13" t="s">
        <v>30</v>
      </c>
      <c r="B7" s="11">
        <v>469</v>
      </c>
      <c r="C7" s="11">
        <v>117</v>
      </c>
      <c r="D7" s="11">
        <v>803</v>
      </c>
      <c r="E7" s="11">
        <v>496</v>
      </c>
      <c r="F7" s="11"/>
      <c r="G7" s="11">
        <v>186</v>
      </c>
      <c r="H7" s="11"/>
      <c r="I7" s="11"/>
      <c r="J7" s="11">
        <v>8</v>
      </c>
      <c r="K7" s="11"/>
      <c r="L7" s="11"/>
      <c r="M7" s="11"/>
      <c r="N7" s="11"/>
      <c r="O7" s="11"/>
      <c r="P7" s="11"/>
      <c r="Q7" s="40"/>
      <c r="R7" s="40"/>
      <c r="S7" s="40"/>
      <c r="T7" s="40"/>
      <c r="U7" s="25">
        <f t="shared" si="0"/>
        <v>807</v>
      </c>
      <c r="V7" s="25">
        <f t="shared" si="1"/>
        <v>1276</v>
      </c>
      <c r="W7" s="26">
        <f t="shared" si="2"/>
        <v>1462</v>
      </c>
      <c r="X7" s="27">
        <f t="shared" si="3"/>
        <v>118508.5</v>
      </c>
      <c r="Y7" s="27">
        <f t="shared" si="4"/>
        <v>164939.5</v>
      </c>
    </row>
    <row r="8" ht="21" customHeight="1" spans="1:25">
      <c r="A8" s="13" t="s">
        <v>31</v>
      </c>
      <c r="B8" s="11">
        <v>695</v>
      </c>
      <c r="C8" s="11">
        <v>76</v>
      </c>
      <c r="D8" s="11">
        <v>621</v>
      </c>
      <c r="E8" s="11">
        <v>473</v>
      </c>
      <c r="F8" s="11"/>
      <c r="G8" s="11">
        <v>155</v>
      </c>
      <c r="H8" s="11"/>
      <c r="I8" s="11"/>
      <c r="J8" s="11">
        <v>8</v>
      </c>
      <c r="K8" s="11">
        <v>11</v>
      </c>
      <c r="L8" s="11">
        <v>1</v>
      </c>
      <c r="M8" s="11"/>
      <c r="N8" s="11"/>
      <c r="O8" s="11"/>
      <c r="P8" s="11"/>
      <c r="Q8" s="40"/>
      <c r="R8" s="40"/>
      <c r="S8" s="40"/>
      <c r="T8" s="40"/>
      <c r="U8" s="25">
        <f t="shared" si="0"/>
        <v>724</v>
      </c>
      <c r="V8" s="25">
        <f t="shared" si="1"/>
        <v>1419</v>
      </c>
      <c r="W8" s="26">
        <f t="shared" si="2"/>
        <v>1633</v>
      </c>
      <c r="X8" s="27">
        <f t="shared" si="3"/>
        <v>103119.5</v>
      </c>
      <c r="Y8" s="27">
        <f t="shared" si="4"/>
        <v>171924.5</v>
      </c>
    </row>
    <row r="9" ht="21" customHeight="1" spans="1:25">
      <c r="A9" s="13" t="s">
        <v>32</v>
      </c>
      <c r="B9" s="11">
        <v>125</v>
      </c>
      <c r="C9" s="11">
        <v>0</v>
      </c>
      <c r="D9" s="11">
        <v>286</v>
      </c>
      <c r="E9" s="11">
        <v>268</v>
      </c>
      <c r="F9" s="11"/>
      <c r="G9" s="11">
        <v>33</v>
      </c>
      <c r="H9" s="11"/>
      <c r="I9" s="11"/>
      <c r="J9" s="11">
        <v>6</v>
      </c>
      <c r="K9" s="11"/>
      <c r="L9" s="11"/>
      <c r="M9" s="11"/>
      <c r="N9" s="11"/>
      <c r="O9" s="11"/>
      <c r="P9" s="11"/>
      <c r="Q9" s="40"/>
      <c r="R9" s="40"/>
      <c r="S9" s="40"/>
      <c r="T9" s="40"/>
      <c r="U9" s="25">
        <f t="shared" si="0"/>
        <v>307</v>
      </c>
      <c r="V9" s="25">
        <f t="shared" si="1"/>
        <v>432</v>
      </c>
      <c r="W9" s="26">
        <f t="shared" si="2"/>
        <v>465</v>
      </c>
      <c r="X9" s="27">
        <f t="shared" si="3"/>
        <v>37147</v>
      </c>
      <c r="Y9" s="27">
        <f t="shared" si="4"/>
        <v>49522</v>
      </c>
    </row>
    <row r="10" ht="21" customHeight="1" spans="1:25">
      <c r="A10" s="13" t="s">
        <v>33</v>
      </c>
      <c r="B10" s="11">
        <v>451</v>
      </c>
      <c r="C10" s="11">
        <v>2</v>
      </c>
      <c r="D10" s="11">
        <v>534</v>
      </c>
      <c r="E10" s="11">
        <v>518</v>
      </c>
      <c r="F10" s="11"/>
      <c r="G10" s="11">
        <v>81</v>
      </c>
      <c r="H10" s="11"/>
      <c r="I10" s="11"/>
      <c r="J10" s="11">
        <v>15</v>
      </c>
      <c r="K10" s="11">
        <v>26</v>
      </c>
      <c r="L10" s="11"/>
      <c r="M10" s="11"/>
      <c r="N10" s="11"/>
      <c r="O10" s="11"/>
      <c r="P10" s="11"/>
      <c r="Q10" s="40"/>
      <c r="R10" s="40"/>
      <c r="S10" s="40"/>
      <c r="T10" s="40"/>
      <c r="U10" s="25">
        <f t="shared" si="0"/>
        <v>642</v>
      </c>
      <c r="V10" s="25">
        <f t="shared" si="1"/>
        <v>1093</v>
      </c>
      <c r="W10" s="26">
        <f t="shared" si="2"/>
        <v>1304</v>
      </c>
      <c r="X10" s="27">
        <f t="shared" si="3"/>
        <v>80124</v>
      </c>
      <c r="Y10" s="27">
        <f t="shared" si="4"/>
        <v>124773</v>
      </c>
    </row>
    <row r="11" ht="21" customHeight="1" spans="1:25">
      <c r="A11" s="13" t="s">
        <v>34</v>
      </c>
      <c r="B11" s="11">
        <v>297</v>
      </c>
      <c r="C11" s="11">
        <v>47</v>
      </c>
      <c r="D11" s="11">
        <v>472</v>
      </c>
      <c r="E11" s="11">
        <v>372</v>
      </c>
      <c r="F11" s="11"/>
      <c r="G11" s="11">
        <v>130</v>
      </c>
      <c r="H11" s="11"/>
      <c r="I11" s="11"/>
      <c r="J11" s="11">
        <v>6</v>
      </c>
      <c r="K11" s="11">
        <v>3</v>
      </c>
      <c r="L11" s="11">
        <v>1</v>
      </c>
      <c r="M11" s="11"/>
      <c r="N11" s="11"/>
      <c r="O11" s="11"/>
      <c r="P11" s="11"/>
      <c r="Q11" s="40"/>
      <c r="R11" s="40"/>
      <c r="S11" s="40"/>
      <c r="T11" s="40"/>
      <c r="U11" s="25">
        <f t="shared" si="0"/>
        <v>559</v>
      </c>
      <c r="V11" s="25">
        <f t="shared" si="1"/>
        <v>856</v>
      </c>
      <c r="W11" s="26">
        <f t="shared" si="2"/>
        <v>1005</v>
      </c>
      <c r="X11" s="27">
        <f t="shared" si="3"/>
        <v>80707</v>
      </c>
      <c r="Y11" s="27">
        <f t="shared" si="4"/>
        <v>110110</v>
      </c>
    </row>
    <row r="12" ht="21" customHeight="1" spans="1:25">
      <c r="A12" s="13" t="s">
        <v>35</v>
      </c>
      <c r="B12" s="11">
        <v>298</v>
      </c>
      <c r="C12" s="11">
        <v>36</v>
      </c>
      <c r="D12" s="11">
        <v>337</v>
      </c>
      <c r="E12" s="11">
        <v>303</v>
      </c>
      <c r="F12" s="11"/>
      <c r="G12" s="11">
        <v>71</v>
      </c>
      <c r="H12" s="11">
        <v>2</v>
      </c>
      <c r="I12" s="11"/>
      <c r="J12" s="11">
        <v>5</v>
      </c>
      <c r="K12" s="11"/>
      <c r="L12" s="11">
        <v>19</v>
      </c>
      <c r="M12" s="11"/>
      <c r="N12" s="11"/>
      <c r="O12" s="11"/>
      <c r="P12" s="11"/>
      <c r="Q12" s="40"/>
      <c r="R12" s="40"/>
      <c r="S12" s="40"/>
      <c r="T12" s="40"/>
      <c r="U12" s="25">
        <f t="shared" si="0"/>
        <v>436</v>
      </c>
      <c r="V12" s="25">
        <f t="shared" si="1"/>
        <v>734</v>
      </c>
      <c r="W12" s="26">
        <f t="shared" si="2"/>
        <v>885</v>
      </c>
      <c r="X12" s="27">
        <f t="shared" si="3"/>
        <v>56868.5</v>
      </c>
      <c r="Y12" s="27">
        <f t="shared" si="4"/>
        <v>86370.5</v>
      </c>
    </row>
    <row r="13" ht="21" customHeight="1" spans="1:25">
      <c r="A13" s="13" t="s">
        <v>36</v>
      </c>
      <c r="B13" s="11">
        <v>679</v>
      </c>
      <c r="C13" s="11">
        <v>73</v>
      </c>
      <c r="D13" s="11">
        <v>531</v>
      </c>
      <c r="E13" s="11">
        <v>360</v>
      </c>
      <c r="F13" s="11"/>
      <c r="G13" s="11">
        <v>152</v>
      </c>
      <c r="H13" s="11">
        <v>13</v>
      </c>
      <c r="I13" s="11">
        <v>6</v>
      </c>
      <c r="J13" s="11">
        <v>8</v>
      </c>
      <c r="K13" s="11">
        <v>7</v>
      </c>
      <c r="L13" s="11"/>
      <c r="M13" s="11"/>
      <c r="N13" s="11">
        <v>4</v>
      </c>
      <c r="O13" s="11"/>
      <c r="P13" s="11"/>
      <c r="Q13" s="40"/>
      <c r="R13" s="40"/>
      <c r="S13" s="40"/>
      <c r="T13" s="40"/>
      <c r="U13" s="25">
        <f t="shared" si="0"/>
        <v>623</v>
      </c>
      <c r="V13" s="25">
        <f t="shared" si="1"/>
        <v>1302</v>
      </c>
      <c r="W13" s="26">
        <f t="shared" si="2"/>
        <v>1543</v>
      </c>
      <c r="X13" s="27">
        <f t="shared" si="3"/>
        <v>96006.5</v>
      </c>
      <c r="Y13" s="27">
        <f t="shared" si="4"/>
        <v>163227.5</v>
      </c>
    </row>
    <row r="14" ht="21" customHeight="1" spans="1:25">
      <c r="A14" s="13" t="s">
        <v>37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40"/>
      <c r="R14" s="40"/>
      <c r="S14" s="40"/>
      <c r="T14" s="40"/>
      <c r="U14" s="25">
        <f t="shared" si="0"/>
        <v>0</v>
      </c>
      <c r="V14" s="25">
        <f t="shared" si="1"/>
        <v>0</v>
      </c>
      <c r="W14" s="26">
        <f t="shared" si="2"/>
        <v>0</v>
      </c>
      <c r="X14" s="27">
        <f t="shared" si="3"/>
        <v>0</v>
      </c>
      <c r="Y14" s="27">
        <f t="shared" si="4"/>
        <v>0</v>
      </c>
    </row>
    <row r="15" ht="21" customHeight="1" spans="1:25">
      <c r="A15" s="13" t="s">
        <v>38</v>
      </c>
      <c r="B15" s="11">
        <v>614</v>
      </c>
      <c r="C15" s="11">
        <v>5</v>
      </c>
      <c r="D15" s="11">
        <v>391</v>
      </c>
      <c r="E15" s="11">
        <v>390</v>
      </c>
      <c r="F15" s="11"/>
      <c r="G15" s="11">
        <v>55</v>
      </c>
      <c r="H15" s="11"/>
      <c r="I15" s="11"/>
      <c r="J15" s="11">
        <v>4</v>
      </c>
      <c r="K15" s="11">
        <v>12</v>
      </c>
      <c r="L15" s="11">
        <v>1</v>
      </c>
      <c r="M15" s="11"/>
      <c r="N15" s="11"/>
      <c r="O15" s="11"/>
      <c r="P15" s="11"/>
      <c r="Q15" s="40"/>
      <c r="R15" s="40"/>
      <c r="S15" s="40"/>
      <c r="T15" s="40"/>
      <c r="U15" s="25">
        <f t="shared" si="0"/>
        <v>467</v>
      </c>
      <c r="V15" s="25">
        <f t="shared" si="1"/>
        <v>1081</v>
      </c>
      <c r="W15" s="26">
        <f t="shared" si="2"/>
        <v>1200</v>
      </c>
      <c r="X15" s="27">
        <f t="shared" si="3"/>
        <v>57777.5</v>
      </c>
      <c r="Y15" s="27">
        <f t="shared" si="4"/>
        <v>118563.5</v>
      </c>
    </row>
    <row r="16" ht="21" customHeight="1" spans="1:25">
      <c r="A16" s="13" t="s">
        <v>39</v>
      </c>
      <c r="B16" s="11">
        <v>675</v>
      </c>
      <c r="C16" s="11">
        <v>78</v>
      </c>
      <c r="D16" s="11">
        <v>630</v>
      </c>
      <c r="E16" s="11">
        <v>515</v>
      </c>
      <c r="F16" s="11"/>
      <c r="G16" s="11">
        <v>157</v>
      </c>
      <c r="H16" s="11">
        <v>1</v>
      </c>
      <c r="I16" s="11"/>
      <c r="J16" s="11">
        <v>9</v>
      </c>
      <c r="K16" s="11">
        <v>22</v>
      </c>
      <c r="L16" s="11">
        <v>7</v>
      </c>
      <c r="M16" s="11"/>
      <c r="N16" s="11"/>
      <c r="O16" s="11"/>
      <c r="P16" s="11"/>
      <c r="Q16" s="40"/>
      <c r="R16" s="40"/>
      <c r="S16" s="40"/>
      <c r="T16" s="40"/>
      <c r="U16" s="25">
        <f t="shared" si="0"/>
        <v>789</v>
      </c>
      <c r="V16" s="25">
        <f t="shared" si="1"/>
        <v>1464</v>
      </c>
      <c r="W16" s="26">
        <f t="shared" si="2"/>
        <v>1761</v>
      </c>
      <c r="X16" s="27">
        <f t="shared" si="3"/>
        <v>110134</v>
      </c>
      <c r="Y16" s="27">
        <f t="shared" si="4"/>
        <v>176959</v>
      </c>
    </row>
    <row r="17" ht="21" customHeight="1" spans="1:25">
      <c r="A17" s="13" t="s">
        <v>40</v>
      </c>
      <c r="B17" s="11">
        <v>248</v>
      </c>
      <c r="C17" s="11">
        <v>11</v>
      </c>
      <c r="D17" s="11">
        <v>638</v>
      </c>
      <c r="E17" s="11">
        <v>587</v>
      </c>
      <c r="F17" s="11"/>
      <c r="G17" s="11">
        <v>65</v>
      </c>
      <c r="H17" s="11"/>
      <c r="I17" s="40"/>
      <c r="J17" s="11">
        <v>12</v>
      </c>
      <c r="K17" s="11">
        <v>3</v>
      </c>
      <c r="L17" s="11">
        <v>1</v>
      </c>
      <c r="M17" s="11"/>
      <c r="N17" s="11"/>
      <c r="O17" s="11"/>
      <c r="P17" s="11"/>
      <c r="Q17" s="40"/>
      <c r="R17" s="40"/>
      <c r="S17" s="40"/>
      <c r="T17" s="40"/>
      <c r="U17" s="25">
        <f t="shared" si="0"/>
        <v>679</v>
      </c>
      <c r="V17" s="25">
        <f t="shared" si="1"/>
        <v>927</v>
      </c>
      <c r="W17" s="26">
        <f t="shared" si="2"/>
        <v>1011</v>
      </c>
      <c r="X17" s="27">
        <f t="shared" si="3"/>
        <v>81323</v>
      </c>
      <c r="Y17" s="27">
        <f t="shared" si="4"/>
        <v>105875</v>
      </c>
    </row>
    <row r="18" ht="21" customHeight="1" spans="1:25">
      <c r="A18" s="13" t="s">
        <v>41</v>
      </c>
      <c r="B18" s="11">
        <v>388</v>
      </c>
      <c r="C18" s="11">
        <v>37</v>
      </c>
      <c r="D18" s="11">
        <v>276</v>
      </c>
      <c r="E18" s="11">
        <v>201</v>
      </c>
      <c r="F18" s="11"/>
      <c r="G18" s="11">
        <v>75</v>
      </c>
      <c r="H18" s="11"/>
      <c r="I18" s="40"/>
      <c r="J18" s="11">
        <v>1</v>
      </c>
      <c r="K18" s="11"/>
      <c r="L18" s="11">
        <v>10</v>
      </c>
      <c r="M18" s="11"/>
      <c r="N18" s="11"/>
      <c r="O18" s="11"/>
      <c r="P18" s="11"/>
      <c r="Q18" s="40"/>
      <c r="R18" s="40"/>
      <c r="S18" s="40"/>
      <c r="T18" s="40"/>
      <c r="U18" s="25">
        <f t="shared" si="0"/>
        <v>324</v>
      </c>
      <c r="V18" s="25">
        <f t="shared" si="1"/>
        <v>712</v>
      </c>
      <c r="W18" s="26">
        <f t="shared" si="2"/>
        <v>827</v>
      </c>
      <c r="X18" s="27">
        <f t="shared" si="3"/>
        <v>46486</v>
      </c>
      <c r="Y18" s="27">
        <f t="shared" si="4"/>
        <v>84898</v>
      </c>
    </row>
    <row r="19" ht="21" customHeight="1" spans="1:25">
      <c r="A19" s="13" t="s">
        <v>42</v>
      </c>
      <c r="B19" s="11">
        <v>380</v>
      </c>
      <c r="C19" s="11">
        <v>7</v>
      </c>
      <c r="D19" s="11">
        <v>544</v>
      </c>
      <c r="E19" s="11">
        <v>576</v>
      </c>
      <c r="F19" s="11"/>
      <c r="G19" s="11">
        <v>56</v>
      </c>
      <c r="H19" s="11"/>
      <c r="I19" s="40"/>
      <c r="J19" s="11">
        <v>8</v>
      </c>
      <c r="K19" s="11">
        <v>19</v>
      </c>
      <c r="L19" s="11"/>
      <c r="M19" s="11"/>
      <c r="N19" s="11"/>
      <c r="O19" s="11"/>
      <c r="P19" s="11"/>
      <c r="Q19" s="40"/>
      <c r="R19" s="40"/>
      <c r="S19" s="40"/>
      <c r="T19" s="40"/>
      <c r="U19" s="25">
        <f t="shared" si="0"/>
        <v>666</v>
      </c>
      <c r="V19" s="25">
        <f t="shared" si="1"/>
        <v>1046</v>
      </c>
      <c r="W19" s="26">
        <f t="shared" si="2"/>
        <v>1197</v>
      </c>
      <c r="X19" s="27">
        <f t="shared" si="3"/>
        <v>78672</v>
      </c>
      <c r="Y19" s="27">
        <f t="shared" si="4"/>
        <v>116292</v>
      </c>
    </row>
    <row r="20" ht="21" customHeight="1" spans="1:25">
      <c r="A20" s="13" t="s">
        <v>43</v>
      </c>
      <c r="B20" s="11">
        <v>93</v>
      </c>
      <c r="C20" s="11">
        <v>15</v>
      </c>
      <c r="D20" s="11">
        <v>439</v>
      </c>
      <c r="E20" s="11">
        <v>436</v>
      </c>
      <c r="F20" s="11"/>
      <c r="G20" s="11">
        <v>54</v>
      </c>
      <c r="H20" s="11"/>
      <c r="I20" s="40"/>
      <c r="J20" s="11">
        <v>10</v>
      </c>
      <c r="K20" s="11">
        <v>15</v>
      </c>
      <c r="L20" s="11">
        <v>14</v>
      </c>
      <c r="M20" s="11"/>
      <c r="N20" s="11"/>
      <c r="O20" s="11"/>
      <c r="P20" s="11"/>
      <c r="Q20" s="40"/>
      <c r="R20" s="40"/>
      <c r="S20" s="40"/>
      <c r="T20" s="40"/>
      <c r="U20" s="25">
        <f t="shared" si="0"/>
        <v>544</v>
      </c>
      <c r="V20" s="25">
        <f t="shared" si="1"/>
        <v>637</v>
      </c>
      <c r="W20" s="26">
        <f t="shared" si="2"/>
        <v>822</v>
      </c>
      <c r="X20" s="27">
        <f t="shared" si="3"/>
        <v>64806.5</v>
      </c>
      <c r="Y20" s="27">
        <f t="shared" si="4"/>
        <v>74013.5</v>
      </c>
    </row>
    <row r="21" ht="21" customHeight="1" spans="1:25">
      <c r="A21" s="13" t="s">
        <v>44</v>
      </c>
      <c r="B21" s="11">
        <v>996</v>
      </c>
      <c r="C21" s="11">
        <v>13</v>
      </c>
      <c r="D21" s="11">
        <v>412</v>
      </c>
      <c r="E21" s="11">
        <v>418</v>
      </c>
      <c r="F21" s="11"/>
      <c r="G21" s="11">
        <v>41</v>
      </c>
      <c r="H21" s="11"/>
      <c r="I21" s="40"/>
      <c r="J21" s="11">
        <v>8</v>
      </c>
      <c r="K21" s="11">
        <v>31</v>
      </c>
      <c r="L21" s="11">
        <v>5</v>
      </c>
      <c r="M21" s="11"/>
      <c r="N21" s="11"/>
      <c r="O21" s="11"/>
      <c r="P21" s="11"/>
      <c r="Q21" s="40"/>
      <c r="R21" s="40"/>
      <c r="S21" s="40"/>
      <c r="T21" s="40"/>
      <c r="U21" s="25">
        <f t="shared" si="0"/>
        <v>516</v>
      </c>
      <c r="V21" s="25">
        <f t="shared" si="1"/>
        <v>1512</v>
      </c>
      <c r="W21" s="26">
        <f t="shared" si="2"/>
        <v>1728</v>
      </c>
      <c r="X21" s="27">
        <f t="shared" si="3"/>
        <v>60885</v>
      </c>
      <c r="Y21" s="27">
        <f t="shared" si="4"/>
        <v>159489</v>
      </c>
    </row>
    <row r="22" ht="21" customHeight="1" spans="1:25">
      <c r="A22" s="13" t="s">
        <v>45</v>
      </c>
      <c r="B22" s="11">
        <v>391</v>
      </c>
      <c r="C22" s="11">
        <v>123</v>
      </c>
      <c r="D22" s="11">
        <v>739</v>
      </c>
      <c r="E22" s="11">
        <v>541</v>
      </c>
      <c r="F22" s="11"/>
      <c r="G22" s="11">
        <v>188</v>
      </c>
      <c r="H22" s="11"/>
      <c r="I22" s="40"/>
      <c r="J22" s="11">
        <v>4</v>
      </c>
      <c r="K22" s="11"/>
      <c r="L22" s="11"/>
      <c r="M22" s="11">
        <v>1</v>
      </c>
      <c r="N22" s="11"/>
      <c r="O22" s="11"/>
      <c r="P22" s="11"/>
      <c r="Q22" s="40"/>
      <c r="R22" s="40"/>
      <c r="S22" s="40"/>
      <c r="T22" s="40"/>
      <c r="U22" s="25">
        <f t="shared" si="0"/>
        <v>857</v>
      </c>
      <c r="V22" s="25">
        <f t="shared" si="1"/>
        <v>1248</v>
      </c>
      <c r="W22" s="26">
        <f t="shared" si="2"/>
        <v>1436</v>
      </c>
      <c r="X22" s="27">
        <f t="shared" si="3"/>
        <v>123739</v>
      </c>
      <c r="Y22" s="27">
        <f t="shared" si="4"/>
        <v>162448</v>
      </c>
    </row>
    <row r="23" ht="21" customHeight="1" spans="1:25">
      <c r="A23" s="13" t="s">
        <v>46</v>
      </c>
      <c r="B23" s="11">
        <v>398</v>
      </c>
      <c r="C23" s="11">
        <v>4</v>
      </c>
      <c r="D23" s="11">
        <v>293</v>
      </c>
      <c r="E23" s="11">
        <v>340</v>
      </c>
      <c r="F23" s="11"/>
      <c r="G23" s="11">
        <v>18</v>
      </c>
      <c r="H23" s="11"/>
      <c r="I23" s="40"/>
      <c r="J23" s="11">
        <v>7</v>
      </c>
      <c r="K23" s="11">
        <v>21</v>
      </c>
      <c r="L23" s="11">
        <v>4</v>
      </c>
      <c r="M23" s="11"/>
      <c r="N23" s="11"/>
      <c r="O23" s="11"/>
      <c r="P23" s="11"/>
      <c r="Q23" s="40"/>
      <c r="R23" s="40"/>
      <c r="S23" s="40"/>
      <c r="T23" s="40"/>
      <c r="U23" s="25">
        <f t="shared" si="0"/>
        <v>394</v>
      </c>
      <c r="V23" s="25">
        <f t="shared" si="1"/>
        <v>792</v>
      </c>
      <c r="W23" s="26">
        <f t="shared" si="2"/>
        <v>931</v>
      </c>
      <c r="X23" s="27">
        <f t="shared" si="3"/>
        <v>43840.5</v>
      </c>
      <c r="Y23" s="27">
        <f t="shared" si="4"/>
        <v>83242.5</v>
      </c>
    </row>
    <row r="24" ht="21" customHeight="1" spans="1:25">
      <c r="A24" s="13" t="s">
        <v>47</v>
      </c>
      <c r="B24" s="11">
        <v>234</v>
      </c>
      <c r="C24" s="11">
        <v>10</v>
      </c>
      <c r="D24" s="11">
        <v>635</v>
      </c>
      <c r="E24" s="11">
        <v>634</v>
      </c>
      <c r="F24" s="11"/>
      <c r="G24" s="11">
        <v>76</v>
      </c>
      <c r="H24" s="11"/>
      <c r="I24" s="40"/>
      <c r="J24" s="11">
        <v>14</v>
      </c>
      <c r="K24" s="11">
        <v>13</v>
      </c>
      <c r="L24" s="11"/>
      <c r="M24" s="11">
        <v>1</v>
      </c>
      <c r="N24" s="11"/>
      <c r="O24" s="11"/>
      <c r="P24" s="11"/>
      <c r="Q24" s="40"/>
      <c r="R24" s="40"/>
      <c r="S24" s="40"/>
      <c r="T24" s="40"/>
      <c r="U24" s="25">
        <f t="shared" si="0"/>
        <v>748</v>
      </c>
      <c r="V24" s="25">
        <f t="shared" si="1"/>
        <v>982</v>
      </c>
      <c r="W24" s="26">
        <f t="shared" si="2"/>
        <v>1123</v>
      </c>
      <c r="X24" s="27">
        <f t="shared" si="3"/>
        <v>90156</v>
      </c>
      <c r="Y24" s="27">
        <f t="shared" si="4"/>
        <v>113322</v>
      </c>
    </row>
    <row r="25" ht="21" customHeight="1" spans="1:25">
      <c r="A25" s="13" t="s">
        <v>48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ht="21" customHeight="1" spans="1:25">
      <c r="A26" s="13" t="s">
        <v>49</v>
      </c>
      <c r="B26" s="11">
        <v>8</v>
      </c>
      <c r="C26" s="11"/>
      <c r="D26" s="11">
        <v>10</v>
      </c>
      <c r="E26" s="11">
        <v>8</v>
      </c>
      <c r="F26" s="11"/>
      <c r="G26" s="11"/>
      <c r="H26" s="11"/>
      <c r="I26" s="40"/>
      <c r="J26" s="11">
        <v>1</v>
      </c>
      <c r="K26" s="11">
        <v>2</v>
      </c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11</v>
      </c>
      <c r="V26" s="25">
        <f t="shared" si="1"/>
        <v>19</v>
      </c>
      <c r="W26" s="26">
        <f t="shared" si="2"/>
        <v>29</v>
      </c>
      <c r="X26" s="27">
        <f t="shared" si="3"/>
        <v>1166</v>
      </c>
      <c r="Y26" s="27">
        <f t="shared" si="4"/>
        <v>1958</v>
      </c>
    </row>
    <row r="27" ht="21" customHeight="1" spans="1:25">
      <c r="A27" s="13"/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ht="21" customHeight="1" spans="1:25">
      <c r="A28" s="13" t="s">
        <v>50</v>
      </c>
      <c r="B28" s="11"/>
      <c r="C28" s="11"/>
      <c r="D28" s="11">
        <v>24</v>
      </c>
      <c r="E28" s="11">
        <v>27</v>
      </c>
      <c r="F28" s="11"/>
      <c r="G28" s="11">
        <v>4</v>
      </c>
      <c r="H28" s="11"/>
      <c r="I28" s="35"/>
      <c r="J28" s="11"/>
      <c r="K28" s="11"/>
      <c r="L28" s="11">
        <v>7</v>
      </c>
      <c r="M28" s="11"/>
      <c r="N28" s="11"/>
      <c r="O28" s="11"/>
      <c r="P28" s="11"/>
      <c r="Q28" s="35"/>
      <c r="R28" s="35"/>
      <c r="S28" s="35"/>
      <c r="T28" s="35"/>
      <c r="U28" s="25">
        <f t="shared" si="0"/>
        <v>38</v>
      </c>
      <c r="V28" s="25">
        <f t="shared" si="1"/>
        <v>38</v>
      </c>
      <c r="W28" s="26">
        <f t="shared" si="2"/>
        <v>70</v>
      </c>
      <c r="X28" s="27">
        <f t="shared" si="3"/>
        <v>4092</v>
      </c>
      <c r="Y28" s="27">
        <f t="shared" si="4"/>
        <v>4092</v>
      </c>
    </row>
    <row r="29" ht="21" customHeight="1" spans="1:25">
      <c r="A29" s="33" t="s">
        <v>51</v>
      </c>
      <c r="B29" s="11">
        <v>806</v>
      </c>
      <c r="C29" s="11">
        <v>21</v>
      </c>
      <c r="D29" s="11">
        <v>259</v>
      </c>
      <c r="E29" s="11">
        <v>225</v>
      </c>
      <c r="F29" s="52"/>
      <c r="G29" s="11">
        <v>54</v>
      </c>
      <c r="H29" s="52"/>
      <c r="I29" s="52"/>
      <c r="J29" s="11">
        <v>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28">
        <f t="shared" si="0"/>
        <v>303</v>
      </c>
      <c r="V29" s="25">
        <f t="shared" si="1"/>
        <v>1109</v>
      </c>
      <c r="W29" s="26">
        <v>0</v>
      </c>
      <c r="X29" s="28">
        <f t="shared" si="3"/>
        <v>40892.5</v>
      </c>
      <c r="Y29" s="28">
        <f t="shared" si="4"/>
        <v>120686.5</v>
      </c>
    </row>
    <row r="30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ht="21" customHeight="1" spans="1:25">
      <c r="A31" s="13" t="s">
        <v>52</v>
      </c>
      <c r="B31" s="36">
        <f>SUM(B4:B30)</f>
        <v>9925</v>
      </c>
      <c r="C31" s="36">
        <f t="shared" ref="C31:L31" si="5">SUM(C4:C30)</f>
        <v>790</v>
      </c>
      <c r="D31" s="36">
        <f t="shared" si="5"/>
        <v>10081</v>
      </c>
      <c r="E31" s="36">
        <f t="shared" si="5"/>
        <v>8700</v>
      </c>
      <c r="F31" s="36">
        <f t="shared" si="5"/>
        <v>0</v>
      </c>
      <c r="G31" s="36">
        <f t="shared" si="5"/>
        <v>1975</v>
      </c>
      <c r="H31" s="36">
        <f t="shared" si="5"/>
        <v>38</v>
      </c>
      <c r="I31" s="36">
        <f t="shared" si="5"/>
        <v>6</v>
      </c>
      <c r="J31" s="36">
        <f t="shared" si="5"/>
        <v>165</v>
      </c>
      <c r="K31" s="36">
        <f t="shared" si="5"/>
        <v>193</v>
      </c>
      <c r="L31" s="36">
        <f t="shared" si="5"/>
        <v>70</v>
      </c>
      <c r="M31" s="36">
        <f t="shared" ref="M31:U31" si="6">SUM(M4:M30)</f>
        <v>2</v>
      </c>
      <c r="N31" s="36">
        <f t="shared" si="6"/>
        <v>8</v>
      </c>
      <c r="O31" s="36">
        <f t="shared" si="6"/>
        <v>38</v>
      </c>
      <c r="P31" s="36">
        <f t="shared" si="6"/>
        <v>0</v>
      </c>
      <c r="Q31" s="36">
        <f t="shared" si="6"/>
        <v>0</v>
      </c>
      <c r="R31" s="36">
        <f t="shared" si="6"/>
        <v>0</v>
      </c>
      <c r="S31" s="36">
        <f t="shared" si="6"/>
        <v>0</v>
      </c>
      <c r="T31" s="36">
        <f t="shared" si="6"/>
        <v>0</v>
      </c>
      <c r="U31" s="15">
        <f t="shared" si="6"/>
        <v>11985</v>
      </c>
      <c r="V31" s="25">
        <f t="shared" si="1"/>
        <v>21910</v>
      </c>
      <c r="W31" s="26">
        <f>SUM(W4:W30)</f>
        <v>24239</v>
      </c>
      <c r="X31" s="29">
        <f>SUM(X4:X30)</f>
        <v>1599415.5</v>
      </c>
      <c r="Y31" s="27">
        <f t="shared" si="4"/>
        <v>2581990.5</v>
      </c>
    </row>
    <row r="32" ht="21" customHeight="1" spans="1:25">
      <c r="A32" s="14" t="s">
        <v>53</v>
      </c>
      <c r="B32" s="15">
        <f t="shared" ref="B32:P32" si="7">B31*B3</f>
        <v>982575</v>
      </c>
      <c r="C32" s="15">
        <f t="shared" si="7"/>
        <v>104280</v>
      </c>
      <c r="D32" s="15">
        <f t="shared" si="7"/>
        <v>55445.5</v>
      </c>
      <c r="E32" s="15">
        <f t="shared" si="7"/>
        <v>861300</v>
      </c>
      <c r="F32" s="15">
        <f t="shared" si="7"/>
        <v>0</v>
      </c>
      <c r="G32" s="15">
        <f t="shared" si="7"/>
        <v>521400</v>
      </c>
      <c r="H32" s="15">
        <f t="shared" si="7"/>
        <v>11780</v>
      </c>
      <c r="I32" s="15">
        <f t="shared" si="7"/>
        <v>1716</v>
      </c>
      <c r="J32" s="15">
        <f t="shared" si="7"/>
        <v>9075</v>
      </c>
      <c r="K32" s="15">
        <f t="shared" si="7"/>
        <v>25476</v>
      </c>
      <c r="L32" s="15">
        <f t="shared" si="7"/>
        <v>2310</v>
      </c>
      <c r="M32" s="15">
        <f t="shared" si="7"/>
        <v>55</v>
      </c>
      <c r="N32" s="15">
        <f t="shared" si="7"/>
        <v>1144</v>
      </c>
      <c r="O32" s="15">
        <f t="shared" si="7"/>
        <v>5434</v>
      </c>
      <c r="P32" s="15">
        <f t="shared" si="7"/>
        <v>0</v>
      </c>
      <c r="Q32" s="15"/>
      <c r="R32" s="15"/>
      <c r="S32" s="15"/>
      <c r="T32" s="15"/>
      <c r="U32" s="15" t="s">
        <v>54</v>
      </c>
      <c r="V32" s="29" t="s">
        <v>54</v>
      </c>
      <c r="W32" s="26" t="s">
        <v>54</v>
      </c>
      <c r="X32" s="29">
        <f>SUM(C32:P32)</f>
        <v>1599415.5</v>
      </c>
      <c r="Y32" s="29">
        <f>SUM(B32:P32)</f>
        <v>2581990.5</v>
      </c>
    </row>
    <row r="33" ht="21" customHeight="1"/>
  </sheetData>
  <protectedRanges>
    <protectedRange sqref="R4:T4 Q5:T28" name="区域1_3_1_1"/>
    <protectedRange sqref="E30:G31 F29" name="区域1_1"/>
    <protectedRange sqref="N4:P28" name="区域1_8"/>
    <protectedRange sqref="E30:G31 F29" name="区域1_1_1_1"/>
    <protectedRange sqref="F4:F25 F27:F28 F26" name="区域1_2"/>
    <protectedRange sqref="R4:T4 Q5:T28" name="区域1_3_1_1_1"/>
    <protectedRange sqref="P4:P28" name="区域1_8_1"/>
    <protectedRange sqref="R4:T4 Q5:T28" name="区域1_3_1_1_2"/>
    <protectedRange sqref="E30:G31 F29" name="区域1_1_1"/>
    <protectedRange sqref="N4:P28" name="区域1_8_2"/>
    <protectedRange sqref="R4:T4 Q5:T28" name="区域1_3_1_1_3"/>
    <protectedRange sqref="E30:G31 F29" name="区域1_1_1_2"/>
    <protectedRange sqref="F4:F25 F27:F28 F26" name="区域1_2_1"/>
    <protectedRange sqref="I4:I12 I14:I16" name="区域1_5"/>
    <protectedRange sqref="N29:P31" name="区域1_7"/>
    <protectedRange sqref="P4:P28" name="区域1_8_2_1"/>
    <protectedRange sqref="B4:B25 B27:B28 B26" name="区域1_4"/>
    <protectedRange sqref="C4:C25 C27:C28 C26" name="区域1"/>
    <protectedRange sqref="E4:E25 E27:E28 E26" name="区域1_9"/>
    <protectedRange sqref="G4:G25 G27:G28 G26" name="区域1_10"/>
    <protectedRange sqref="I13" name="区域1_11"/>
    <protectedRange sqref="H4:H25 H27:H28 H26" name="区域1_3"/>
    <protectedRange sqref="J4:L25 L26 J27:L28 J26:K26" name="区域1_12"/>
    <protectedRange sqref="M4:O28" name="区域1_6"/>
    <protectedRange sqref="D4:D25 D27:D28 D26" name="区域1_13"/>
    <protectedRange sqref="D29" name="区域1_14"/>
    <protectedRange sqref="J29" name="区域1_15"/>
    <protectedRange sqref="B29:C29" name="区域1_16"/>
    <protectedRange sqref="E29" name="区域1_17"/>
    <protectedRange sqref="G29" name="区域1_18"/>
  </protectedRanges>
  <mergeCells count="7">
    <mergeCell ref="A1:Y1"/>
    <mergeCell ref="A2:A3"/>
    <mergeCell ref="U2:U3"/>
    <mergeCell ref="V2:V3"/>
    <mergeCell ref="W2:W3"/>
    <mergeCell ref="X2:X3"/>
    <mergeCell ref="Y2:Y3"/>
  </mergeCells>
  <printOptions horizontalCentered="1"/>
  <pageMargins left="0" right="0" top="0.15625" bottom="0" header="0.313888888888889" footer="0.313888888888889"/>
  <pageSetup paperSize="9" scale="8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3"/>
  <sheetViews>
    <sheetView workbookViewId="0">
      <selection activeCell="Q4" sqref="Q4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7" max="16384" width="9.625" style="3"/>
  </cols>
  <sheetData>
    <row r="1" s="3" customFormat="1" ht="30.75" customHeight="1" spans="1:25">
      <c r="A1" s="4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30</v>
      </c>
      <c r="C4" s="11">
        <v>35</v>
      </c>
      <c r="D4" s="11">
        <v>476</v>
      </c>
      <c r="E4" s="11">
        <v>433</v>
      </c>
      <c r="F4" s="11"/>
      <c r="G4" s="11">
        <v>142</v>
      </c>
      <c r="H4" s="11">
        <v>24</v>
      </c>
      <c r="I4" s="11">
        <v>4</v>
      </c>
      <c r="J4" s="11"/>
      <c r="K4" s="11"/>
      <c r="L4" s="11"/>
      <c r="M4" s="11"/>
      <c r="N4" s="11">
        <v>2</v>
      </c>
      <c r="O4" s="11">
        <v>19</v>
      </c>
      <c r="P4" s="11"/>
      <c r="Q4" s="41">
        <v>80</v>
      </c>
      <c r="R4" s="42">
        <v>84</v>
      </c>
      <c r="S4" s="42"/>
      <c r="T4" s="42"/>
      <c r="U4" s="25">
        <f>SUM(C4:P4)-D4</f>
        <v>659</v>
      </c>
      <c r="V4" s="25">
        <f>SUM(B4:P4)-D4</f>
        <v>689</v>
      </c>
      <c r="W4" s="26">
        <f>B4+C4+E4+F4+G4*2+H4*3+I4*3+J4+K4*6+L4*5+M4+N4*5+O4*5+P4+Q4</f>
        <v>1051</v>
      </c>
      <c r="X4" s="27">
        <f t="shared" ref="X4:X30" si="0">C4*$C$3+D4*$D$3+E4*$E$3+F4*$F$3+G4*$G$3+H4*$H$3+I4*$I$3+J4*$J$3+K4*$K$3+L4*$L$3+M4*$M$3+N4*$N$3+O4*$O$3+P4*$P$3</f>
        <v>99180</v>
      </c>
      <c r="Y4" s="27">
        <f t="shared" ref="Y4:Y31" si="1">B4*99+C4*$C$3+D4*$D$3+E4*$E$3+F4*$F$3+G4*$G$3+H4*$H$3+I4*$I$3+J4*$J$3+K4*$K$3+L4*$L$3+M4*$M$3+N4*$N$3+O4*$O$3+P4*$P$3</f>
        <v>102150</v>
      </c>
    </row>
    <row r="5" s="30" customFormat="1" ht="21" customHeight="1" spans="1:25">
      <c r="A5" s="13" t="s">
        <v>28</v>
      </c>
      <c r="B5" s="11">
        <v>3</v>
      </c>
      <c r="C5" s="11"/>
      <c r="D5" s="11">
        <v>434</v>
      </c>
      <c r="E5" s="11">
        <v>439</v>
      </c>
      <c r="F5" s="11"/>
      <c r="G5" s="11">
        <v>84</v>
      </c>
      <c r="H5" s="11"/>
      <c r="I5" s="11"/>
      <c r="J5" s="11">
        <v>12</v>
      </c>
      <c r="K5" s="11"/>
      <c r="L5" s="11"/>
      <c r="M5" s="11"/>
      <c r="N5" s="11"/>
      <c r="O5" s="11">
        <v>1</v>
      </c>
      <c r="P5" s="11"/>
      <c r="Q5" s="40"/>
      <c r="R5" s="11">
        <v>4</v>
      </c>
      <c r="S5" s="40"/>
      <c r="T5" s="40"/>
      <c r="U5" s="25">
        <f t="shared" ref="U5:U29" si="2">SUM(C5:P5)-D5</f>
        <v>536</v>
      </c>
      <c r="V5" s="25">
        <f t="shared" ref="V5:V31" si="3">SUM(B5:P5)-D5</f>
        <v>539</v>
      </c>
      <c r="W5" s="26">
        <f t="shared" ref="W5:W30" si="4">B5+C5+E5+F5+G5*2+H5*3+I5*3+J5+K5*6+L5*5+M5+N5*5+O5*5+P5+Q5</f>
        <v>627</v>
      </c>
      <c r="X5" s="27">
        <f t="shared" si="0"/>
        <v>68827</v>
      </c>
      <c r="Y5" s="27">
        <f t="shared" si="1"/>
        <v>69124</v>
      </c>
    </row>
    <row r="6" s="30" customFormat="1" ht="21" customHeight="1" spans="1:25">
      <c r="A6" s="13" t="s">
        <v>29</v>
      </c>
      <c r="B6" s="11">
        <v>220</v>
      </c>
      <c r="C6" s="11">
        <v>112</v>
      </c>
      <c r="D6" s="11">
        <v>526</v>
      </c>
      <c r="E6" s="11">
        <v>357</v>
      </c>
      <c r="F6" s="11"/>
      <c r="G6" s="11">
        <v>125</v>
      </c>
      <c r="H6" s="11"/>
      <c r="I6" s="11"/>
      <c r="J6" s="11">
        <v>5</v>
      </c>
      <c r="K6" s="11"/>
      <c r="L6" s="11"/>
      <c r="M6" s="11"/>
      <c r="N6" s="11"/>
      <c r="O6" s="11"/>
      <c r="P6" s="11"/>
      <c r="Q6" s="40"/>
      <c r="R6" s="11">
        <v>4</v>
      </c>
      <c r="S6" s="40"/>
      <c r="T6" s="40"/>
      <c r="U6" s="25">
        <f t="shared" si="2"/>
        <v>599</v>
      </c>
      <c r="V6" s="25">
        <f t="shared" si="3"/>
        <v>819</v>
      </c>
      <c r="W6" s="26">
        <f t="shared" si="4"/>
        <v>944</v>
      </c>
      <c r="X6" s="27">
        <f t="shared" si="0"/>
        <v>86295</v>
      </c>
      <c r="Y6" s="27">
        <f t="shared" si="1"/>
        <v>108075</v>
      </c>
    </row>
    <row r="7" s="30" customFormat="1" ht="21" customHeight="1" spans="1:25">
      <c r="A7" s="13" t="s">
        <v>30</v>
      </c>
      <c r="B7" s="11">
        <v>306</v>
      </c>
      <c r="C7" s="11">
        <v>121</v>
      </c>
      <c r="D7" s="11">
        <v>644</v>
      </c>
      <c r="E7" s="11">
        <v>477</v>
      </c>
      <c r="F7" s="11"/>
      <c r="G7" s="11">
        <v>164</v>
      </c>
      <c r="H7" s="11">
        <v>1</v>
      </c>
      <c r="I7" s="11"/>
      <c r="J7" s="11">
        <v>2</v>
      </c>
      <c r="K7" s="11"/>
      <c r="L7" s="11">
        <v>1</v>
      </c>
      <c r="M7" s="11"/>
      <c r="N7" s="11"/>
      <c r="O7" s="11"/>
      <c r="P7" s="11"/>
      <c r="Q7" s="40"/>
      <c r="R7" s="11">
        <v>2</v>
      </c>
      <c r="S7" s="40"/>
      <c r="T7" s="40"/>
      <c r="U7" s="25">
        <f t="shared" si="2"/>
        <v>766</v>
      </c>
      <c r="V7" s="25">
        <f t="shared" si="3"/>
        <v>1072</v>
      </c>
      <c r="W7" s="26">
        <f t="shared" si="4"/>
        <v>1242</v>
      </c>
      <c r="X7" s="27">
        <f t="shared" si="0"/>
        <v>110486</v>
      </c>
      <c r="Y7" s="27">
        <f t="shared" si="1"/>
        <v>140780</v>
      </c>
    </row>
    <row r="8" s="30" customFormat="1" ht="21" customHeight="1" spans="1:25">
      <c r="A8" s="13" t="s">
        <v>31</v>
      </c>
      <c r="B8" s="11">
        <v>204</v>
      </c>
      <c r="C8" s="11">
        <v>176</v>
      </c>
      <c r="D8" s="11">
        <v>728</v>
      </c>
      <c r="E8" s="11">
        <v>489</v>
      </c>
      <c r="F8" s="11"/>
      <c r="G8" s="11">
        <v>244</v>
      </c>
      <c r="H8" s="11"/>
      <c r="I8" s="11"/>
      <c r="J8" s="11">
        <v>8</v>
      </c>
      <c r="K8" s="11">
        <v>10</v>
      </c>
      <c r="L8" s="11">
        <v>4</v>
      </c>
      <c r="M8" s="11"/>
      <c r="N8" s="11"/>
      <c r="O8" s="11"/>
      <c r="P8" s="11"/>
      <c r="Q8" s="40"/>
      <c r="R8" s="11">
        <v>4</v>
      </c>
      <c r="S8" s="40">
        <v>4</v>
      </c>
      <c r="T8" s="40"/>
      <c r="U8" s="25">
        <f t="shared" si="2"/>
        <v>931</v>
      </c>
      <c r="V8" s="25">
        <f t="shared" si="3"/>
        <v>1135</v>
      </c>
      <c r="W8" s="26">
        <f t="shared" si="4"/>
        <v>1445</v>
      </c>
      <c r="X8" s="27">
        <f t="shared" si="0"/>
        <v>141955</v>
      </c>
      <c r="Y8" s="27">
        <f t="shared" si="1"/>
        <v>162151</v>
      </c>
    </row>
    <row r="9" s="30" customFormat="1" ht="21" customHeight="1" spans="1:25">
      <c r="A9" s="13" t="s">
        <v>32</v>
      </c>
      <c r="B9" s="11">
        <v>84</v>
      </c>
      <c r="C9" s="11">
        <v>1</v>
      </c>
      <c r="D9" s="11">
        <v>263</v>
      </c>
      <c r="E9" s="11">
        <v>231</v>
      </c>
      <c r="F9" s="11"/>
      <c r="G9" s="11">
        <v>40</v>
      </c>
      <c r="H9" s="11"/>
      <c r="I9" s="11"/>
      <c r="J9" s="11">
        <v>4</v>
      </c>
      <c r="K9" s="11"/>
      <c r="L9" s="11"/>
      <c r="M9" s="11"/>
      <c r="N9" s="11"/>
      <c r="O9" s="11"/>
      <c r="P9" s="11"/>
      <c r="Q9" s="40"/>
      <c r="R9" s="11">
        <v>4</v>
      </c>
      <c r="S9" s="40"/>
      <c r="T9" s="40"/>
      <c r="U9" s="25">
        <f t="shared" si="2"/>
        <v>276</v>
      </c>
      <c r="V9" s="25">
        <f t="shared" si="3"/>
        <v>360</v>
      </c>
      <c r="W9" s="26">
        <f t="shared" si="4"/>
        <v>400</v>
      </c>
      <c r="X9" s="27">
        <f t="shared" si="0"/>
        <v>35227.5</v>
      </c>
      <c r="Y9" s="27">
        <f t="shared" si="1"/>
        <v>43543.5</v>
      </c>
    </row>
    <row r="10" s="30" customFormat="1" ht="21" customHeight="1" spans="1:25">
      <c r="A10" s="13" t="s">
        <v>33</v>
      </c>
      <c r="B10" s="11">
        <v>265</v>
      </c>
      <c r="C10" s="11">
        <v>3</v>
      </c>
      <c r="D10" s="11">
        <v>413</v>
      </c>
      <c r="E10" s="11">
        <v>441</v>
      </c>
      <c r="F10" s="11"/>
      <c r="G10" s="11">
        <v>47</v>
      </c>
      <c r="H10" s="11"/>
      <c r="I10" s="11"/>
      <c r="J10" s="11">
        <v>12</v>
      </c>
      <c r="K10" s="11">
        <v>26</v>
      </c>
      <c r="L10" s="11"/>
      <c r="M10" s="11"/>
      <c r="N10" s="11"/>
      <c r="O10" s="11"/>
      <c r="P10" s="11"/>
      <c r="Q10" s="40"/>
      <c r="R10" s="11">
        <v>4</v>
      </c>
      <c r="S10" s="40">
        <v>3</v>
      </c>
      <c r="T10" s="40"/>
      <c r="U10" s="25">
        <f t="shared" si="2"/>
        <v>529</v>
      </c>
      <c r="V10" s="25">
        <f t="shared" si="3"/>
        <v>794</v>
      </c>
      <c r="W10" s="26">
        <f t="shared" si="4"/>
        <v>971</v>
      </c>
      <c r="X10" s="27">
        <f t="shared" si="0"/>
        <v>62826.5</v>
      </c>
      <c r="Y10" s="27">
        <f t="shared" si="1"/>
        <v>89061.5</v>
      </c>
    </row>
    <row r="11" s="30" customFormat="1" ht="21" customHeight="1" spans="1:25">
      <c r="A11" s="13" t="s">
        <v>34</v>
      </c>
      <c r="B11" s="11">
        <v>305</v>
      </c>
      <c r="C11" s="11">
        <v>77</v>
      </c>
      <c r="D11" s="11">
        <v>445</v>
      </c>
      <c r="E11" s="11">
        <v>313</v>
      </c>
      <c r="F11" s="11"/>
      <c r="G11" s="11">
        <v>108</v>
      </c>
      <c r="H11" s="11"/>
      <c r="I11" s="11"/>
      <c r="J11" s="11">
        <v>3</v>
      </c>
      <c r="K11" s="11">
        <v>11</v>
      </c>
      <c r="L11" s="11">
        <v>4</v>
      </c>
      <c r="M11" s="11"/>
      <c r="N11" s="11"/>
      <c r="O11" s="11"/>
      <c r="P11" s="11"/>
      <c r="Q11" s="40"/>
      <c r="R11" s="11"/>
      <c r="S11" s="40">
        <v>4</v>
      </c>
      <c r="T11" s="40"/>
      <c r="U11" s="25">
        <f t="shared" si="2"/>
        <v>516</v>
      </c>
      <c r="V11" s="25">
        <f t="shared" si="3"/>
        <v>821</v>
      </c>
      <c r="W11" s="26">
        <f t="shared" si="4"/>
        <v>1000</v>
      </c>
      <c r="X11" s="27">
        <f t="shared" si="0"/>
        <v>73859.5</v>
      </c>
      <c r="Y11" s="27">
        <f t="shared" si="1"/>
        <v>104054.5</v>
      </c>
    </row>
    <row r="12" s="30" customFormat="1" ht="21" customHeight="1" spans="1:25">
      <c r="A12" s="13" t="s">
        <v>35</v>
      </c>
      <c r="B12" s="11">
        <v>144</v>
      </c>
      <c r="C12" s="11">
        <v>30</v>
      </c>
      <c r="D12" s="11">
        <v>298</v>
      </c>
      <c r="E12" s="11">
        <v>246</v>
      </c>
      <c r="F12" s="11"/>
      <c r="G12" s="11">
        <v>92</v>
      </c>
      <c r="H12" s="11"/>
      <c r="I12" s="11"/>
      <c r="J12" s="11">
        <v>2</v>
      </c>
      <c r="K12" s="11">
        <v>26</v>
      </c>
      <c r="L12" s="11"/>
      <c r="M12" s="11"/>
      <c r="N12" s="11"/>
      <c r="O12" s="11"/>
      <c r="P12" s="11"/>
      <c r="Q12" s="40"/>
      <c r="R12" s="11">
        <v>4</v>
      </c>
      <c r="S12" s="40">
        <v>4</v>
      </c>
      <c r="T12" s="40"/>
      <c r="U12" s="25">
        <f t="shared" si="2"/>
        <v>396</v>
      </c>
      <c r="V12" s="25">
        <f t="shared" si="3"/>
        <v>540</v>
      </c>
      <c r="W12" s="26">
        <f t="shared" si="4"/>
        <v>762</v>
      </c>
      <c r="X12" s="27">
        <f t="shared" si="0"/>
        <v>57783</v>
      </c>
      <c r="Y12" s="27">
        <f t="shared" si="1"/>
        <v>72039</v>
      </c>
    </row>
    <row r="13" s="30" customFormat="1" ht="21" customHeight="1" spans="1:25">
      <c r="A13" s="13" t="s">
        <v>36</v>
      </c>
      <c r="B13" s="11">
        <v>107</v>
      </c>
      <c r="C13" s="11">
        <v>74</v>
      </c>
      <c r="D13" s="11">
        <v>592</v>
      </c>
      <c r="E13" s="11">
        <v>430</v>
      </c>
      <c r="F13" s="11">
        <v>1</v>
      </c>
      <c r="G13" s="11">
        <v>158</v>
      </c>
      <c r="H13" s="11">
        <v>4</v>
      </c>
      <c r="I13" s="11">
        <v>5</v>
      </c>
      <c r="J13" s="11">
        <v>3</v>
      </c>
      <c r="K13" s="11">
        <v>26</v>
      </c>
      <c r="L13" s="11"/>
      <c r="M13" s="11"/>
      <c r="N13" s="11">
        <v>2</v>
      </c>
      <c r="O13" s="11"/>
      <c r="P13" s="11"/>
      <c r="Q13" s="40"/>
      <c r="R13" s="11">
        <v>4</v>
      </c>
      <c r="S13" s="40">
        <v>4</v>
      </c>
      <c r="T13" s="40"/>
      <c r="U13" s="25">
        <f t="shared" si="2"/>
        <v>703</v>
      </c>
      <c r="V13" s="25">
        <f t="shared" si="3"/>
        <v>810</v>
      </c>
      <c r="W13" s="26">
        <f t="shared" si="4"/>
        <v>1124</v>
      </c>
      <c r="X13" s="27">
        <f t="shared" si="0"/>
        <v>103914</v>
      </c>
      <c r="Y13" s="27">
        <f t="shared" si="1"/>
        <v>114507</v>
      </c>
    </row>
    <row r="14" s="30" customFormat="1" ht="21" customHeight="1" spans="1:25">
      <c r="A14" s="13" t="s">
        <v>37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40"/>
      <c r="R14" s="11"/>
      <c r="S14" s="40"/>
      <c r="T14" s="40"/>
      <c r="U14" s="25">
        <f t="shared" si="2"/>
        <v>0</v>
      </c>
      <c r="V14" s="25">
        <f t="shared" si="3"/>
        <v>0</v>
      </c>
      <c r="W14" s="26">
        <f t="shared" si="4"/>
        <v>0</v>
      </c>
      <c r="X14" s="27">
        <f t="shared" si="0"/>
        <v>0</v>
      </c>
      <c r="Y14" s="27">
        <f t="shared" si="1"/>
        <v>0</v>
      </c>
    </row>
    <row r="15" s="30" customFormat="1" ht="21" customHeight="1" spans="1:25">
      <c r="A15" s="13" t="s">
        <v>38</v>
      </c>
      <c r="B15" s="11">
        <v>125</v>
      </c>
      <c r="C15" s="11">
        <v>8</v>
      </c>
      <c r="D15" s="11">
        <v>617</v>
      </c>
      <c r="E15" s="11">
        <v>628</v>
      </c>
      <c r="F15" s="11">
        <v>1</v>
      </c>
      <c r="G15" s="11">
        <v>84</v>
      </c>
      <c r="H15" s="11"/>
      <c r="I15" s="11"/>
      <c r="J15" s="11">
        <v>9</v>
      </c>
      <c r="K15" s="11">
        <v>9</v>
      </c>
      <c r="L15" s="11">
        <v>2</v>
      </c>
      <c r="M15" s="11"/>
      <c r="N15" s="11"/>
      <c r="O15" s="11">
        <v>7</v>
      </c>
      <c r="P15" s="11"/>
      <c r="Q15" s="40"/>
      <c r="R15" s="11">
        <v>2</v>
      </c>
      <c r="S15" s="40">
        <v>4</v>
      </c>
      <c r="T15" s="40"/>
      <c r="U15" s="25">
        <f t="shared" si="2"/>
        <v>748</v>
      </c>
      <c r="V15" s="25">
        <f t="shared" si="3"/>
        <v>873</v>
      </c>
      <c r="W15" s="26">
        <f t="shared" si="4"/>
        <v>1038</v>
      </c>
      <c r="X15" s="27">
        <f t="shared" si="0"/>
        <v>91602.5</v>
      </c>
      <c r="Y15" s="27">
        <f t="shared" si="1"/>
        <v>103977.5</v>
      </c>
    </row>
    <row r="16" s="30" customFormat="1" ht="21" customHeight="1" spans="1:25">
      <c r="A16" s="13" t="s">
        <v>39</v>
      </c>
      <c r="B16" s="11">
        <v>419</v>
      </c>
      <c r="C16" s="11">
        <v>74</v>
      </c>
      <c r="D16" s="11">
        <v>591</v>
      </c>
      <c r="E16" s="11">
        <v>446</v>
      </c>
      <c r="F16" s="11"/>
      <c r="G16" s="11">
        <v>166</v>
      </c>
      <c r="H16" s="11">
        <v>2</v>
      </c>
      <c r="I16" s="11"/>
      <c r="J16" s="11">
        <v>3</v>
      </c>
      <c r="K16" s="11">
        <v>7</v>
      </c>
      <c r="L16" s="11">
        <v>3</v>
      </c>
      <c r="M16" s="11"/>
      <c r="N16" s="11"/>
      <c r="O16" s="11"/>
      <c r="P16" s="11"/>
      <c r="Q16" s="40"/>
      <c r="R16" s="11">
        <v>4</v>
      </c>
      <c r="S16" s="40">
        <v>4</v>
      </c>
      <c r="T16" s="40"/>
      <c r="U16" s="25">
        <f t="shared" si="2"/>
        <v>701</v>
      </c>
      <c r="V16" s="25">
        <f t="shared" si="3"/>
        <v>1120</v>
      </c>
      <c r="W16" s="26">
        <f t="shared" si="4"/>
        <v>1337</v>
      </c>
      <c r="X16" s="27">
        <f t="shared" si="0"/>
        <v>102804.5</v>
      </c>
      <c r="Y16" s="27">
        <f t="shared" si="1"/>
        <v>144285.5</v>
      </c>
    </row>
    <row r="17" s="30" customFormat="1" ht="21" customHeight="1" spans="1:25">
      <c r="A17" s="13" t="s">
        <v>40</v>
      </c>
      <c r="B17" s="11">
        <v>236</v>
      </c>
      <c r="C17" s="11">
        <v>3</v>
      </c>
      <c r="D17" s="11">
        <v>589</v>
      </c>
      <c r="E17" s="11">
        <v>558</v>
      </c>
      <c r="F17" s="11"/>
      <c r="G17" s="11">
        <v>117</v>
      </c>
      <c r="H17" s="11"/>
      <c r="I17" s="40"/>
      <c r="J17" s="11">
        <v>25</v>
      </c>
      <c r="K17" s="11">
        <v>18</v>
      </c>
      <c r="L17" s="11"/>
      <c r="M17" s="11"/>
      <c r="N17" s="11"/>
      <c r="O17" s="11"/>
      <c r="P17" s="11"/>
      <c r="Q17" s="40"/>
      <c r="R17" s="11">
        <v>4</v>
      </c>
      <c r="S17" s="40">
        <v>4</v>
      </c>
      <c r="T17" s="40"/>
      <c r="U17" s="25">
        <f t="shared" si="2"/>
        <v>721</v>
      </c>
      <c r="V17" s="25">
        <f t="shared" si="3"/>
        <v>957</v>
      </c>
      <c r="W17" s="26">
        <f t="shared" si="4"/>
        <v>1164</v>
      </c>
      <c r="X17" s="27">
        <f t="shared" si="0"/>
        <v>93516.5</v>
      </c>
      <c r="Y17" s="27">
        <f t="shared" si="1"/>
        <v>116880.5</v>
      </c>
    </row>
    <row r="18" s="30" customFormat="1" ht="21" customHeight="1" spans="1:25">
      <c r="A18" s="13" t="s">
        <v>41</v>
      </c>
      <c r="B18" s="11">
        <v>317</v>
      </c>
      <c r="C18" s="11">
        <v>38</v>
      </c>
      <c r="D18" s="11">
        <v>305</v>
      </c>
      <c r="E18" s="11">
        <v>272</v>
      </c>
      <c r="F18" s="11"/>
      <c r="G18" s="11">
        <v>91</v>
      </c>
      <c r="H18" s="11">
        <v>1</v>
      </c>
      <c r="I18" s="40"/>
      <c r="J18" s="11">
        <v>1</v>
      </c>
      <c r="K18" s="11"/>
      <c r="L18" s="11">
        <v>6</v>
      </c>
      <c r="M18" s="11"/>
      <c r="N18" s="11"/>
      <c r="O18" s="11"/>
      <c r="P18" s="11"/>
      <c r="Q18" s="40"/>
      <c r="R18" s="11">
        <v>4</v>
      </c>
      <c r="S18" s="40">
        <v>4</v>
      </c>
      <c r="T18" s="40"/>
      <c r="U18" s="25">
        <f t="shared" si="2"/>
        <v>409</v>
      </c>
      <c r="V18" s="25">
        <f t="shared" si="3"/>
        <v>726</v>
      </c>
      <c r="W18" s="26">
        <f t="shared" si="4"/>
        <v>843</v>
      </c>
      <c r="X18" s="27">
        <f t="shared" si="0"/>
        <v>58208.5</v>
      </c>
      <c r="Y18" s="27">
        <f t="shared" si="1"/>
        <v>89591.5</v>
      </c>
    </row>
    <row r="19" s="30" customFormat="1" ht="21" customHeight="1" spans="1:25">
      <c r="A19" s="13" t="s">
        <v>42</v>
      </c>
      <c r="B19" s="11">
        <v>290</v>
      </c>
      <c r="C19" s="11">
        <v>11</v>
      </c>
      <c r="D19" s="11">
        <v>440</v>
      </c>
      <c r="E19" s="11">
        <v>453</v>
      </c>
      <c r="F19" s="11"/>
      <c r="G19" s="11">
        <v>53</v>
      </c>
      <c r="H19" s="11"/>
      <c r="I19" s="40"/>
      <c r="J19" s="11">
        <v>7</v>
      </c>
      <c r="K19" s="11">
        <v>17</v>
      </c>
      <c r="L19" s="11"/>
      <c r="M19" s="11"/>
      <c r="N19" s="11"/>
      <c r="O19" s="11"/>
      <c r="P19" s="11"/>
      <c r="Q19" s="40"/>
      <c r="R19" s="11">
        <v>4</v>
      </c>
      <c r="S19" s="40">
        <v>4</v>
      </c>
      <c r="T19" s="40"/>
      <c r="U19" s="25">
        <f t="shared" si="2"/>
        <v>541</v>
      </c>
      <c r="V19" s="25">
        <f t="shared" si="3"/>
        <v>831</v>
      </c>
      <c r="W19" s="26">
        <f t="shared" si="4"/>
        <v>969</v>
      </c>
      <c r="X19" s="27">
        <f t="shared" si="0"/>
        <v>65340</v>
      </c>
      <c r="Y19" s="27">
        <f t="shared" si="1"/>
        <v>94050</v>
      </c>
    </row>
    <row r="20" s="30" customFormat="1" ht="21" customHeight="1" spans="1:25">
      <c r="A20" s="13" t="s">
        <v>43</v>
      </c>
      <c r="B20" s="11">
        <v>253</v>
      </c>
      <c r="C20" s="11">
        <v>3</v>
      </c>
      <c r="D20" s="11">
        <v>589</v>
      </c>
      <c r="E20" s="11">
        <v>604</v>
      </c>
      <c r="F20" s="11"/>
      <c r="G20" s="11">
        <v>77</v>
      </c>
      <c r="H20" s="11"/>
      <c r="I20" s="40"/>
      <c r="J20" s="11">
        <v>23</v>
      </c>
      <c r="K20" s="11">
        <v>12</v>
      </c>
      <c r="L20" s="11">
        <v>1</v>
      </c>
      <c r="M20" s="11"/>
      <c r="N20" s="11"/>
      <c r="O20" s="11">
        <v>1</v>
      </c>
      <c r="P20" s="11"/>
      <c r="Q20" s="40"/>
      <c r="R20" s="11">
        <v>2</v>
      </c>
      <c r="S20" s="40">
        <v>4</v>
      </c>
      <c r="T20" s="40"/>
      <c r="U20" s="25">
        <f t="shared" si="2"/>
        <v>721</v>
      </c>
      <c r="V20" s="25">
        <f t="shared" si="3"/>
        <v>974</v>
      </c>
      <c r="W20" s="26">
        <f t="shared" si="4"/>
        <v>1119</v>
      </c>
      <c r="X20" s="27">
        <f t="shared" si="0"/>
        <v>86784.5</v>
      </c>
      <c r="Y20" s="27">
        <f t="shared" si="1"/>
        <v>111831.5</v>
      </c>
    </row>
    <row r="21" s="30" customFormat="1" ht="21" customHeight="1" spans="1:25">
      <c r="A21" s="13" t="s">
        <v>44</v>
      </c>
      <c r="B21" s="11">
        <v>453</v>
      </c>
      <c r="C21" s="11">
        <v>14</v>
      </c>
      <c r="D21" s="11">
        <v>532</v>
      </c>
      <c r="E21" s="11">
        <v>588</v>
      </c>
      <c r="F21" s="11"/>
      <c r="G21" s="11">
        <v>63</v>
      </c>
      <c r="H21" s="11"/>
      <c r="I21" s="40"/>
      <c r="J21" s="11">
        <v>29</v>
      </c>
      <c r="K21" s="11">
        <v>20</v>
      </c>
      <c r="L21" s="11">
        <v>4</v>
      </c>
      <c r="M21" s="11"/>
      <c r="N21" s="11"/>
      <c r="O21" s="11"/>
      <c r="P21" s="11"/>
      <c r="Q21" s="40"/>
      <c r="R21" s="11">
        <v>4</v>
      </c>
      <c r="S21" s="40">
        <v>8</v>
      </c>
      <c r="T21" s="40"/>
      <c r="U21" s="25">
        <f t="shared" si="2"/>
        <v>718</v>
      </c>
      <c r="V21" s="25">
        <f t="shared" si="3"/>
        <v>1171</v>
      </c>
      <c r="W21" s="26">
        <f t="shared" si="4"/>
        <v>1350</v>
      </c>
      <c r="X21" s="27">
        <f t="shared" si="0"/>
        <v>83985</v>
      </c>
      <c r="Y21" s="27">
        <f t="shared" si="1"/>
        <v>128832</v>
      </c>
    </row>
    <row r="22" s="30" customFormat="1" ht="21" customHeight="1" spans="1:25">
      <c r="A22" s="13" t="s">
        <v>45</v>
      </c>
      <c r="B22" s="11">
        <v>117</v>
      </c>
      <c r="C22" s="11">
        <v>192</v>
      </c>
      <c r="D22" s="11">
        <v>928</v>
      </c>
      <c r="E22" s="11">
        <v>536</v>
      </c>
      <c r="F22" s="11">
        <v>1</v>
      </c>
      <c r="G22" s="11">
        <v>255</v>
      </c>
      <c r="H22" s="11"/>
      <c r="I22" s="40"/>
      <c r="J22" s="11">
        <v>5</v>
      </c>
      <c r="K22" s="11"/>
      <c r="L22" s="11"/>
      <c r="M22" s="11"/>
      <c r="N22" s="11"/>
      <c r="O22" s="11"/>
      <c r="P22" s="11"/>
      <c r="Q22" s="40"/>
      <c r="R22" s="11">
        <v>4</v>
      </c>
      <c r="S22" s="40">
        <v>1</v>
      </c>
      <c r="T22" s="40"/>
      <c r="U22" s="25">
        <f t="shared" si="2"/>
        <v>989</v>
      </c>
      <c r="V22" s="25">
        <f t="shared" si="3"/>
        <v>1106</v>
      </c>
      <c r="W22" s="26">
        <f t="shared" si="4"/>
        <v>1361</v>
      </c>
      <c r="X22" s="27">
        <f t="shared" si="0"/>
        <v>151162</v>
      </c>
      <c r="Y22" s="27">
        <f t="shared" si="1"/>
        <v>162745</v>
      </c>
    </row>
    <row r="23" s="30" customFormat="1" ht="21" customHeight="1" spans="1:25">
      <c r="A23" s="13" t="s">
        <v>46</v>
      </c>
      <c r="B23" s="11">
        <v>168</v>
      </c>
      <c r="C23" s="11">
        <v>8</v>
      </c>
      <c r="D23" s="11">
        <v>780</v>
      </c>
      <c r="E23" s="11">
        <v>720</v>
      </c>
      <c r="F23" s="11">
        <v>1</v>
      </c>
      <c r="G23" s="11">
        <v>62</v>
      </c>
      <c r="H23" s="11"/>
      <c r="I23" s="40"/>
      <c r="J23" s="11">
        <v>26</v>
      </c>
      <c r="K23" s="11">
        <v>2</v>
      </c>
      <c r="L23" s="11"/>
      <c r="M23" s="11"/>
      <c r="N23" s="11"/>
      <c r="O23" s="11"/>
      <c r="P23" s="11"/>
      <c r="Q23" s="40"/>
      <c r="R23" s="11">
        <v>2</v>
      </c>
      <c r="S23" s="40">
        <v>4</v>
      </c>
      <c r="T23" s="40"/>
      <c r="U23" s="25">
        <f t="shared" si="2"/>
        <v>819</v>
      </c>
      <c r="V23" s="25">
        <f t="shared" si="3"/>
        <v>987</v>
      </c>
      <c r="W23" s="26">
        <f t="shared" si="4"/>
        <v>1059</v>
      </c>
      <c r="X23" s="27">
        <f t="shared" si="0"/>
        <v>94743</v>
      </c>
      <c r="Y23" s="27">
        <f t="shared" si="1"/>
        <v>111375</v>
      </c>
    </row>
    <row r="24" s="30" customFormat="1" ht="21" customHeight="1" spans="1:25">
      <c r="A24" s="13" t="s">
        <v>47</v>
      </c>
      <c r="B24" s="11">
        <v>207</v>
      </c>
      <c r="C24" s="11">
        <v>5</v>
      </c>
      <c r="D24" s="11">
        <v>510</v>
      </c>
      <c r="E24" s="11">
        <v>506</v>
      </c>
      <c r="F24" s="11"/>
      <c r="G24" s="11">
        <v>88</v>
      </c>
      <c r="H24" s="11"/>
      <c r="I24" s="40"/>
      <c r="J24" s="11">
        <v>19</v>
      </c>
      <c r="K24" s="11">
        <v>15</v>
      </c>
      <c r="L24" s="11">
        <v>6</v>
      </c>
      <c r="M24" s="11"/>
      <c r="N24" s="11"/>
      <c r="O24" s="11"/>
      <c r="P24" s="11"/>
      <c r="Q24" s="40"/>
      <c r="R24" s="11">
        <v>4</v>
      </c>
      <c r="S24" s="40">
        <v>3</v>
      </c>
      <c r="T24" s="40"/>
      <c r="U24" s="25">
        <f t="shared" si="2"/>
        <v>639</v>
      </c>
      <c r="V24" s="25">
        <f t="shared" si="3"/>
        <v>846</v>
      </c>
      <c r="W24" s="26">
        <f t="shared" si="4"/>
        <v>1033</v>
      </c>
      <c r="X24" s="27">
        <f t="shared" si="0"/>
        <v>80014</v>
      </c>
      <c r="Y24" s="27">
        <f t="shared" si="1"/>
        <v>100507</v>
      </c>
    </row>
    <row r="25" s="30" customFormat="1" ht="21" customHeight="1" spans="1:25">
      <c r="A25" s="13" t="s">
        <v>49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>
        <v>25</v>
      </c>
      <c r="S25" s="40"/>
      <c r="T25" s="40"/>
      <c r="U25" s="25">
        <f t="shared" si="2"/>
        <v>0</v>
      </c>
      <c r="V25" s="25">
        <f t="shared" si="3"/>
        <v>0</v>
      </c>
      <c r="W25" s="26">
        <f t="shared" si="4"/>
        <v>0</v>
      </c>
      <c r="X25" s="27">
        <f t="shared" si="0"/>
        <v>0</v>
      </c>
      <c r="Y25" s="27">
        <f t="shared" si="1"/>
        <v>0</v>
      </c>
    </row>
    <row r="26" s="30" customFormat="1" ht="21" customHeight="1" spans="1:25">
      <c r="A26" s="13" t="s">
        <v>56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>
        <v>25</v>
      </c>
      <c r="S26" s="40"/>
      <c r="T26" s="40"/>
      <c r="U26" s="25">
        <f t="shared" si="2"/>
        <v>0</v>
      </c>
      <c r="V26" s="25">
        <f t="shared" si="3"/>
        <v>0</v>
      </c>
      <c r="W26" s="26">
        <f t="shared" si="4"/>
        <v>0</v>
      </c>
      <c r="X26" s="27">
        <f t="shared" si="0"/>
        <v>0</v>
      </c>
      <c r="Y26" s="27">
        <f t="shared" si="1"/>
        <v>0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>
        <v>15</v>
      </c>
      <c r="S27" s="40"/>
      <c r="T27" s="40"/>
      <c r="U27" s="25">
        <f t="shared" si="2"/>
        <v>0</v>
      </c>
      <c r="V27" s="25">
        <f t="shared" si="3"/>
        <v>0</v>
      </c>
      <c r="W27" s="26">
        <f t="shared" si="4"/>
        <v>0</v>
      </c>
      <c r="X27" s="27">
        <f t="shared" si="0"/>
        <v>0</v>
      </c>
      <c r="Y27" s="27">
        <f t="shared" si="1"/>
        <v>0</v>
      </c>
    </row>
    <row r="28" s="30" customFormat="1" ht="21" customHeight="1" spans="1:25">
      <c r="A28" s="13" t="s">
        <v>50</v>
      </c>
      <c r="B28" s="11"/>
      <c r="C28" s="11"/>
      <c r="D28" s="11"/>
      <c r="E28" s="11"/>
      <c r="F28" s="11"/>
      <c r="G28" s="11"/>
      <c r="H28" s="11"/>
      <c r="I28" s="40"/>
      <c r="J28" s="11"/>
      <c r="K28" s="11"/>
      <c r="L28" s="11"/>
      <c r="M28" s="11"/>
      <c r="N28" s="11"/>
      <c r="O28" s="11"/>
      <c r="P28" s="11"/>
      <c r="Q28" s="40"/>
      <c r="R28" s="40">
        <v>15</v>
      </c>
      <c r="S28" s="40"/>
      <c r="T28" s="40"/>
      <c r="U28" s="25">
        <f t="shared" si="2"/>
        <v>0</v>
      </c>
      <c r="V28" s="25">
        <f t="shared" si="3"/>
        <v>0</v>
      </c>
      <c r="W28" s="26">
        <f t="shared" si="4"/>
        <v>0</v>
      </c>
      <c r="X28" s="27">
        <f t="shared" si="0"/>
        <v>0</v>
      </c>
      <c r="Y28" s="27">
        <f t="shared" si="1"/>
        <v>0</v>
      </c>
    </row>
    <row r="29" s="45" customFormat="1" ht="21" customHeight="1" spans="1:25">
      <c r="A29" s="33" t="s">
        <v>51</v>
      </c>
      <c r="B29" s="11">
        <v>33</v>
      </c>
      <c r="C29" s="11">
        <v>25</v>
      </c>
      <c r="D29" s="11">
        <v>325</v>
      </c>
      <c r="E29" s="11">
        <v>260</v>
      </c>
      <c r="F29" s="34"/>
      <c r="G29" s="11">
        <v>92</v>
      </c>
      <c r="H29" s="34"/>
      <c r="I29" s="34"/>
      <c r="J29" s="11">
        <v>3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2"/>
        <v>380</v>
      </c>
      <c r="V29" s="25">
        <f t="shared" si="3"/>
        <v>413</v>
      </c>
      <c r="W29" s="26">
        <v>0</v>
      </c>
      <c r="X29" s="28">
        <f t="shared" si="0"/>
        <v>55280.5</v>
      </c>
      <c r="Y29" s="28">
        <f t="shared" si="1"/>
        <v>58547.5</v>
      </c>
    </row>
    <row r="30" s="30" customFormat="1" ht="21" hidden="1" customHeight="1" spans="1:25">
      <c r="A30" s="13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25">
        <f>SUM(B30:Q30)</f>
        <v>0</v>
      </c>
      <c r="V30" s="25">
        <f t="shared" si="3"/>
        <v>0</v>
      </c>
      <c r="W30" s="26">
        <f t="shared" si="4"/>
        <v>0</v>
      </c>
      <c r="X30" s="27">
        <f t="shared" si="0"/>
        <v>0</v>
      </c>
      <c r="Y30" s="27">
        <f t="shared" si="1"/>
        <v>0</v>
      </c>
    </row>
    <row r="31" s="30" customFormat="1" ht="21" customHeight="1" spans="1:25">
      <c r="A31" s="5" t="s">
        <v>52</v>
      </c>
      <c r="B31" s="46">
        <f t="shared" ref="B31:U31" si="5">SUM(B4:B30)</f>
        <v>4286</v>
      </c>
      <c r="C31" s="46">
        <f t="shared" si="5"/>
        <v>1010</v>
      </c>
      <c r="D31" s="46">
        <f t="shared" si="5"/>
        <v>11025</v>
      </c>
      <c r="E31" s="46">
        <f t="shared" si="5"/>
        <v>9427</v>
      </c>
      <c r="F31" s="46">
        <f t="shared" si="5"/>
        <v>4</v>
      </c>
      <c r="G31" s="46">
        <f t="shared" si="5"/>
        <v>2352</v>
      </c>
      <c r="H31" s="46">
        <f t="shared" si="5"/>
        <v>32</v>
      </c>
      <c r="I31" s="46">
        <f t="shared" si="5"/>
        <v>9</v>
      </c>
      <c r="J31" s="46">
        <f t="shared" si="5"/>
        <v>201</v>
      </c>
      <c r="K31" s="46">
        <f t="shared" si="5"/>
        <v>199</v>
      </c>
      <c r="L31" s="46">
        <f t="shared" si="5"/>
        <v>31</v>
      </c>
      <c r="M31" s="46">
        <f t="shared" si="5"/>
        <v>0</v>
      </c>
      <c r="N31" s="46">
        <f t="shared" si="5"/>
        <v>4</v>
      </c>
      <c r="O31" s="46">
        <f t="shared" si="5"/>
        <v>28</v>
      </c>
      <c r="P31" s="46">
        <f t="shared" si="5"/>
        <v>0</v>
      </c>
      <c r="Q31" s="46">
        <f t="shared" si="5"/>
        <v>80</v>
      </c>
      <c r="R31" s="46">
        <f t="shared" si="5"/>
        <v>228</v>
      </c>
      <c r="S31" s="46">
        <f t="shared" si="5"/>
        <v>59</v>
      </c>
      <c r="T31" s="46">
        <f t="shared" si="5"/>
        <v>0</v>
      </c>
      <c r="U31" s="15">
        <f t="shared" si="5"/>
        <v>13297</v>
      </c>
      <c r="V31" s="25">
        <f t="shared" si="3"/>
        <v>17583</v>
      </c>
      <c r="W31" s="26">
        <f>SUM(W4:W30)</f>
        <v>20839</v>
      </c>
      <c r="X31" s="29">
        <f>SUM(X4:X30)</f>
        <v>1803794.5</v>
      </c>
      <c r="Y31" s="27">
        <f t="shared" si="1"/>
        <v>2228108.5</v>
      </c>
    </row>
    <row r="32" s="30" customFormat="1" ht="21" customHeight="1" spans="1:25">
      <c r="A32" s="41" t="s">
        <v>53</v>
      </c>
      <c r="B32" s="29">
        <f t="shared" ref="B32:P32" si="6">B31*B3</f>
        <v>424314</v>
      </c>
      <c r="C32" s="29">
        <f t="shared" si="6"/>
        <v>133320</v>
      </c>
      <c r="D32" s="29">
        <f t="shared" si="6"/>
        <v>60637.5</v>
      </c>
      <c r="E32" s="29">
        <f t="shared" si="6"/>
        <v>933273</v>
      </c>
      <c r="F32" s="29">
        <f t="shared" si="6"/>
        <v>220</v>
      </c>
      <c r="G32" s="44">
        <f t="shared" si="6"/>
        <v>620928</v>
      </c>
      <c r="H32" s="29">
        <f t="shared" si="6"/>
        <v>9920</v>
      </c>
      <c r="I32" s="29">
        <f t="shared" si="6"/>
        <v>2574</v>
      </c>
      <c r="J32" s="29">
        <f t="shared" si="6"/>
        <v>11055</v>
      </c>
      <c r="K32" s="29">
        <f t="shared" si="6"/>
        <v>26268</v>
      </c>
      <c r="L32" s="29">
        <f t="shared" si="6"/>
        <v>1023</v>
      </c>
      <c r="M32" s="29">
        <f t="shared" si="6"/>
        <v>0</v>
      </c>
      <c r="N32" s="29">
        <f t="shared" si="6"/>
        <v>572</v>
      </c>
      <c r="O32" s="29">
        <f t="shared" si="6"/>
        <v>4004</v>
      </c>
      <c r="P32" s="29">
        <f t="shared" si="6"/>
        <v>0</v>
      </c>
      <c r="Q32" s="29"/>
      <c r="R32" s="29"/>
      <c r="S32" s="29"/>
      <c r="T32" s="29"/>
      <c r="U32" s="29" t="s">
        <v>54</v>
      </c>
      <c r="V32" s="29" t="s">
        <v>54</v>
      </c>
      <c r="W32" s="26" t="s">
        <v>54</v>
      </c>
      <c r="X32" s="29">
        <f>SUM(C32:P32)</f>
        <v>1803794.5</v>
      </c>
      <c r="Y32" s="29">
        <f>SUM(B32:P32)</f>
        <v>2228108.5</v>
      </c>
    </row>
    <row r="33" s="3" customFormat="1" ht="21" customHeight="1"/>
  </sheetData>
  <protectedRanges>
    <protectedRange sqref="E29:G31 E33:G33" name="区域1_1_2"/>
    <protectedRange sqref="E29:G31 E33:G33" name="区域1_1_1"/>
    <protectedRange sqref="P4 P20 N21:P28 N5:P12 O13:P13 N14:P14 P15 N16:P18 R20:R24 R5:R18" name="区域1_8_1_1"/>
    <protectedRange sqref="B25:C26 B14:C14 B5:C9 B16:C16" name="区域1_4"/>
    <protectedRange sqref="R4:T4 M21:M28 M5:M12 M14 M16:M18 Q20:Q24 S20:T24 Q25:T28 Q5:Q18 S5:T18" name="区域1_3_1_1"/>
    <protectedRange sqref="P4 P20 N21:P28 N5:P12 O13:P13 N14:P14 P15 N16:P18 R20:R24 R5:R18" name="区域1_8"/>
    <protectedRange sqref="H14 H16 H5:H9" name="区域1_3_1"/>
    <protectedRange sqref="H14 H16 H5:H9" name="区域1_3_2"/>
    <protectedRange sqref="R4:T4 M21:M28 M5:M12 M14 M16:M18 Q20:Q24 S20:T24 Q25:T28 Q5:Q18 S5:T18" name="区域1_3_1_1_3"/>
    <protectedRange sqref="H14 H16 H5:H9" name="区域1_3_2_1"/>
    <protectedRange sqref="P4 P20 N21:P28 N5:P12 O13:P13 N14:P14 P15 N16:P18 R20:R24 R5:R18" name="区域1_8_2_1"/>
    <protectedRange sqref="E29:G31 E33:G33" name="区域1_1"/>
    <protectedRange sqref="K28:M28 L23:M23 M24 J25:M26 K27:M27 L22:M22 M21 L12:M12 J14:M14 J5:M9 L10:M10 M11 M18 J16:M16 L17:M17" name="区域1_6"/>
    <protectedRange sqref="E29:G31 E33:G33" name="区域1_1_1_1"/>
    <protectedRange sqref="R4:T4 M21:M28 M5:M12 M14 M16:M18 Q20:Q24 S20:T24 Q25:T28 Q5:Q18 S5:T18" name="区域1_3_1_1_1_1"/>
    <protectedRange sqref="P4 P20 N21:P28 N5:P12 O13:P13 N14:P14 P15 N16:P18 R20:R24 R5:R18" name="区域1_8_1_2"/>
    <protectedRange sqref="E29:G31 E33:G33" name="区域1_1_1_2"/>
    <protectedRange sqref="K28:M28 L23:M23 M24 J25:M26 K27:M27 L22:M22 M21 L12:M12 J14:M14 J5:M9 L10:M10 M11 M18 J16:M16 L17:M17" name="区域1_6_1"/>
    <protectedRange sqref="D25:D26 D14 D5:D9 D16" name="区域1_4_1"/>
    <protectedRange sqref="B25:C26 B14:C14 B5:C9 B16:C16" name="区域1"/>
    <protectedRange sqref="E25:G26 E14:G14 E5:G9 E16:G16" name="区域1_2_1_2"/>
    <protectedRange sqref="I14 I16 I5:I9" name="区域1_5_1"/>
    <protectedRange sqref="N29:P31" name="区域1_7"/>
    <protectedRange sqref="R4:T4 Q20:Q24 S20:T24 Q25:T28 Q5:Q18 S5:T18" name="区域1_3_1_1_1"/>
    <protectedRange sqref="E30:G31 F29 E33:G33" name="区域1_1_3"/>
    <protectedRange sqref="P4 P20 N21:P28 N5:P12 O13:P13 N14:P14 P15 N16:P18 R20:R24 R5:R18" name="区域1_8_1"/>
    <protectedRange sqref="E30:G31 F29 E33:G33" name="区域1_1_1_1_1"/>
    <protectedRange sqref="F25:F26 F14 F5:F9 F16" name="区域1_2"/>
    <protectedRange sqref="R4:T4 Q20:Q24 S20:T24 Q25:T28 Q5:Q18 S5:T18" name="区域1_3_1_1_1_2"/>
    <protectedRange sqref="P4:P18 P20:P28 R5:R18 R20:R24" name="区域1_8_1_3"/>
    <protectedRange sqref="R4:T4 Q20:Q24 S20:T24 Q25:T28 Q5:Q18 S5:T18" name="区域1_3_1_1_2"/>
    <protectedRange sqref="E30:G31 F29 E33:G33" name="区域1_1_1_3"/>
    <protectedRange sqref="P4 P20 N21:P28 N5:P12 O13:P13 N14:P14 P15 N16:P18 R20:R24 R5:R18" name="区域1_8_2"/>
    <protectedRange sqref="R4:T4 Q20:Q24 S20:T24 Q25:T28 Q5:Q18 S5:T18" name="区域1_3_1_1_3_1"/>
    <protectedRange sqref="E30:G31 F29 E33:G33" name="区域1_1_1_2_1"/>
    <protectedRange sqref="F25:F26 F14 F5:F9 F16" name="区域1_2_1"/>
    <protectedRange sqref="I14 I16 I5:I9" name="区域1_5"/>
    <protectedRange sqref="N29:P31" name="区域1_7_1"/>
    <protectedRange sqref="P4:P18 P20:P28 R5:R18 R20:R24" name="区域1_8_2_1_1"/>
    <protectedRange sqref="B25:B26 B14 B5:B9 B16" name="区域1_4_2"/>
    <protectedRange sqref="C25:C26 C14 C5:C9 C16" name="区域1_3"/>
    <protectedRange sqref="E25:E26 E14 E5:E9 E16" name="区域1_9"/>
    <protectedRange sqref="G25:G26 G14 G5:G9 G16" name="区域1_10"/>
    <protectedRange sqref="H25:H26 H13:H14 H5:H9 H16" name="区域1_3_3"/>
    <protectedRange sqref="K28:L28 L23 J25:L26 K27:L27 L22 L12 J14:L14 J5:L9 L10 J16:L16 L17" name="区域1_12"/>
    <protectedRange sqref="M21:O28 M5:O12 O13 M14:O14 M16:O18" name="区域1_6_2"/>
    <protectedRange sqref="D25:D26 D14 D5:D9 D16" name="区域1_13"/>
    <protectedRange sqref="D29" name="区域1_14"/>
    <protectedRange sqref="J29" name="区域1_15"/>
    <protectedRange sqref="B29:C29" name="区域1_16"/>
    <protectedRange sqref="E29" name="区域1_17"/>
    <protectedRange sqref="G29" name="区域1_18"/>
    <protectedRange sqref="E19:G19" name="区域1_1_1_1_2"/>
    <protectedRange sqref="E19:G19" name="区域1_1_1_2_2"/>
    <protectedRange sqref="E19:G19" name="区域1_1_4"/>
    <protectedRange sqref="E19:G19" name="区域1_1_1_1_3"/>
    <protectedRange sqref="E19:G19" name="区域1_1_1_4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6"/>
    <protectedRange sqref="E4:G4" name="区域1_1_1_1_5"/>
    <protectedRange sqref="E4:G4" name="区域1_1_1_6"/>
    <protectedRange sqref="E4:G4" name="区域1_1_1_2_5"/>
    <protectedRange sqref="N4:O4" name="区域1_7_3"/>
    <protectedRange sqref="E23:G23" name="区域1_1_7"/>
    <protectedRange sqref="E23:G23" name="区域1_1_1_1_6"/>
    <protectedRange sqref="E23:G23" name="区域1_1_1_7"/>
    <protectedRange sqref="E23:G23" name="区域1_1_1_2_6"/>
    <protectedRange sqref="E20:G20" name="区域1_1_8"/>
    <protectedRange sqref="E20:G20" name="区域1_1_1_1_7"/>
    <protectedRange sqref="E20:G20" name="区域1_1_1_8"/>
    <protectedRange sqref="E20:G20" name="区域1_1_1_2_7"/>
    <protectedRange sqref="N20:O20" name="区域1_7_4"/>
    <protectedRange sqref="E24:G24" name="区域1_1_9"/>
    <protectedRange sqref="E24:G24" name="区域1_1_1_1_8"/>
    <protectedRange sqref="E24:G24" name="区域1_1_1_9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1"/>
    <protectedRange sqref="E22:G22" name="区域1_1_1_1_10"/>
    <protectedRange sqref="E22:G22" name="区域1_1_1_11"/>
    <protectedRange sqref="E22:G22" name="区域1_1_1_2_10"/>
    <protectedRange sqref="E21:G21" name="区域1_1_12"/>
    <protectedRange sqref="E21:G21" name="区域1_1_1_1_11"/>
    <protectedRange sqref="E21:G21" name="区域1_1_1_12"/>
    <protectedRange sqref="E21:G21" name="区域1_1_1_2_11"/>
    <protectedRange sqref="E12:G12" name="区域1_1_13"/>
    <protectedRange sqref="E12:G12" name="区域1_1_1_1_12"/>
    <protectedRange sqref="E12:G12" name="区域1_1_1_13"/>
    <protectedRange sqref="E12:G12" name="区域1_1_1_2_12"/>
    <protectedRange sqref="E13:G13" name="区域1_1_14"/>
    <protectedRange sqref="E13:G13" name="区域1_1_1_1_13"/>
    <protectedRange sqref="E13:G13" name="区域1_1_1_14"/>
    <protectedRange sqref="E13:G13" name="区域1_1_1_2_13"/>
    <protectedRange sqref="N13" name="区域1_7_5"/>
    <protectedRange sqref="E15:G15" name="区域1_1_15"/>
    <protectedRange sqref="E15:G15" name="区域1_1_1_1_14"/>
    <protectedRange sqref="E15:G15" name="区域1_1_1_15"/>
    <protectedRange sqref="E15:G15" name="区域1_1_1_2_14"/>
    <protectedRange sqref="N15:O15" name="区域1_7_6"/>
    <protectedRange sqref="E10:G10" name="区域1_1_16"/>
    <protectedRange sqref="E10:G10" name="区域1_1_1_1_15"/>
    <protectedRange sqref="E10:G10" name="区域1_1_1_16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8"/>
    <protectedRange sqref="E18:G18" name="区域1_1_1_1_17"/>
    <protectedRange sqref="E18:G18" name="区域1_1_1_18"/>
    <protectedRange sqref="E18:G18" name="区域1_1_1_2_17"/>
    <protectedRange sqref="E17:G17" name="区域1_1_19"/>
    <protectedRange sqref="E17:G17" name="区域1_1_1_1_18"/>
    <protectedRange sqref="E17:G17" name="区域1_1_1_19"/>
    <protectedRange sqref="E17:G17" name="区域1_1_1_2_18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700694444444445" right="0.700694444444445" top="0.751388888888889" bottom="0.751388888888889" header="0.297916666666667" footer="0.297916666666667"/>
  <pageSetup paperSize="9" scale="67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3"/>
  <sheetViews>
    <sheetView workbookViewId="0">
      <selection activeCell="S32" sqref="S32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15</v>
      </c>
      <c r="C4" s="11">
        <v>51</v>
      </c>
      <c r="D4" s="11">
        <v>505</v>
      </c>
      <c r="E4" s="11">
        <v>384</v>
      </c>
      <c r="F4" s="11">
        <v>2</v>
      </c>
      <c r="G4" s="11">
        <v>138</v>
      </c>
      <c r="H4" s="11">
        <v>36</v>
      </c>
      <c r="I4" s="11">
        <v>1</v>
      </c>
      <c r="J4" s="11">
        <v>1</v>
      </c>
      <c r="K4" s="11">
        <v>0</v>
      </c>
      <c r="L4" s="11">
        <v>0</v>
      </c>
      <c r="M4" s="11">
        <v>0</v>
      </c>
      <c r="N4" s="11">
        <v>11</v>
      </c>
      <c r="O4" s="11">
        <v>36</v>
      </c>
      <c r="P4" s="11">
        <v>0</v>
      </c>
      <c r="Q4" s="41">
        <v>80</v>
      </c>
      <c r="R4" s="42">
        <v>88</v>
      </c>
      <c r="S4" s="42"/>
      <c r="T4" s="42"/>
      <c r="U4" s="25">
        <f t="shared" ref="U4:U29" si="0">SUM(C4:P4)-D4</f>
        <v>660</v>
      </c>
      <c r="V4" s="25">
        <f t="shared" ref="V4:V31" si="1">SUM(B4:P4)-D4</f>
        <v>675</v>
      </c>
      <c r="W4" s="26">
        <f t="shared" ref="W4:W28" si="2">B4+C4+E4+F4+G4*2+H4*3+I4*3+J4+K4*6+L4*5+M4+N4*5+O4*5+P4+Q4</f>
        <v>1155</v>
      </c>
      <c r="X4" s="27">
        <f t="shared" ref="X4:X30" si="3">C4*$C$3+D4*$D$3+E4*$E$3+F4*$F$3+G4*$G$3+H4*$H$3+I4*$I$3+J4*$J$3+K4*$K$3+L4*$L$3+M4*$M$3+N4*$N$3+O4*$O$3+P4*$P$3</f>
        <v>102289.5</v>
      </c>
      <c r="Y4" s="27">
        <f t="shared" ref="Y4:Y31" si="4">B4*99+C4*$C$3+D4*$D$3+E4*$E$3+F4*$F$3+G4*$G$3+H4*$H$3+I4*$I$3+J4*$J$3+K4*$K$3+L4*$L$3+M4*$M$3+N4*$N$3+O4*$O$3+P4*$P$3</f>
        <v>103774.5</v>
      </c>
    </row>
    <row r="5" s="30" customFormat="1" ht="21" customHeight="1" spans="1:25">
      <c r="A5" s="13" t="s">
        <v>28</v>
      </c>
      <c r="B5" s="11">
        <v>69</v>
      </c>
      <c r="C5" s="11"/>
      <c r="D5" s="11">
        <v>595</v>
      </c>
      <c r="E5" s="11">
        <v>620</v>
      </c>
      <c r="F5" s="11"/>
      <c r="G5" s="11">
        <v>97</v>
      </c>
      <c r="H5" s="11"/>
      <c r="I5" s="11"/>
      <c r="J5" s="11">
        <v>28</v>
      </c>
      <c r="K5" s="11"/>
      <c r="L5" s="11"/>
      <c r="M5" s="11"/>
      <c r="N5" s="11"/>
      <c r="O5" s="11"/>
      <c r="P5" s="11"/>
      <c r="Q5" s="40"/>
      <c r="R5" s="11">
        <v>8</v>
      </c>
      <c r="S5" s="40"/>
      <c r="T5" s="40"/>
      <c r="U5" s="25">
        <f t="shared" si="0"/>
        <v>745</v>
      </c>
      <c r="V5" s="25">
        <f t="shared" si="1"/>
        <v>814</v>
      </c>
      <c r="W5" s="26">
        <f t="shared" si="2"/>
        <v>911</v>
      </c>
      <c r="X5" s="27">
        <f t="shared" si="3"/>
        <v>91800.5</v>
      </c>
      <c r="Y5" s="27">
        <f t="shared" si="4"/>
        <v>98631.5</v>
      </c>
    </row>
    <row r="6" s="30" customFormat="1" ht="21" customHeight="1" spans="1:25">
      <c r="A6" s="13" t="s">
        <v>29</v>
      </c>
      <c r="B6" s="11">
        <v>408</v>
      </c>
      <c r="C6" s="11">
        <v>105</v>
      </c>
      <c r="D6" s="11">
        <v>564</v>
      </c>
      <c r="E6" s="11">
        <v>365</v>
      </c>
      <c r="F6" s="11"/>
      <c r="G6" s="11">
        <v>161</v>
      </c>
      <c r="H6" s="11"/>
      <c r="I6" s="11"/>
      <c r="J6" s="11">
        <v>3</v>
      </c>
      <c r="K6" s="11"/>
      <c r="L6" s="11"/>
      <c r="M6" s="11"/>
      <c r="N6" s="11"/>
      <c r="O6" s="11"/>
      <c r="P6" s="11"/>
      <c r="Q6" s="40"/>
      <c r="R6" s="11">
        <v>4</v>
      </c>
      <c r="S6" s="40"/>
      <c r="T6" s="40"/>
      <c r="U6" s="25">
        <f t="shared" si="0"/>
        <v>634</v>
      </c>
      <c r="V6" s="25">
        <f t="shared" si="1"/>
        <v>1042</v>
      </c>
      <c r="W6" s="26">
        <f t="shared" si="2"/>
        <v>1203</v>
      </c>
      <c r="X6" s="27">
        <f t="shared" si="3"/>
        <v>95766</v>
      </c>
      <c r="Y6" s="27">
        <f t="shared" si="4"/>
        <v>136158</v>
      </c>
    </row>
    <row r="7" s="30" customFormat="1" ht="21" customHeight="1" spans="1:25">
      <c r="A7" s="13" t="s">
        <v>30</v>
      </c>
      <c r="B7" s="11">
        <v>434</v>
      </c>
      <c r="C7" s="11">
        <v>169</v>
      </c>
      <c r="D7" s="11">
        <v>958</v>
      </c>
      <c r="E7" s="11">
        <v>659</v>
      </c>
      <c r="F7" s="11"/>
      <c r="G7" s="11">
        <v>246</v>
      </c>
      <c r="H7" s="11"/>
      <c r="I7" s="11"/>
      <c r="J7" s="11">
        <v>8</v>
      </c>
      <c r="K7" s="11"/>
      <c r="L7" s="11"/>
      <c r="M7" s="11"/>
      <c r="N7" s="11"/>
      <c r="O7" s="11"/>
      <c r="P7" s="11"/>
      <c r="Q7" s="40"/>
      <c r="R7" s="11">
        <v>8</v>
      </c>
      <c r="S7" s="40"/>
      <c r="T7" s="40"/>
      <c r="U7" s="25">
        <f t="shared" si="0"/>
        <v>1082</v>
      </c>
      <c r="V7" s="25">
        <f t="shared" si="1"/>
        <v>1516</v>
      </c>
      <c r="W7" s="26">
        <f t="shared" si="2"/>
        <v>1762</v>
      </c>
      <c r="X7" s="27">
        <f t="shared" si="3"/>
        <v>158202</v>
      </c>
      <c r="Y7" s="27">
        <f t="shared" si="4"/>
        <v>201168</v>
      </c>
    </row>
    <row r="8" s="30" customFormat="1" ht="21" customHeight="1" spans="1:25">
      <c r="A8" s="13" t="s">
        <v>31</v>
      </c>
      <c r="B8" s="11">
        <v>370</v>
      </c>
      <c r="C8" s="11">
        <v>158</v>
      </c>
      <c r="D8" s="11">
        <v>870</v>
      </c>
      <c r="E8" s="11">
        <v>547</v>
      </c>
      <c r="F8" s="11"/>
      <c r="G8" s="11">
        <v>291</v>
      </c>
      <c r="H8" s="11"/>
      <c r="I8" s="11"/>
      <c r="J8" s="11">
        <v>9</v>
      </c>
      <c r="K8" s="11"/>
      <c r="L8" s="11"/>
      <c r="M8" s="11"/>
      <c r="N8" s="11"/>
      <c r="O8" s="11"/>
      <c r="P8" s="11"/>
      <c r="Q8" s="40"/>
      <c r="R8" s="11">
        <v>6</v>
      </c>
      <c r="S8" s="40"/>
      <c r="T8" s="40"/>
      <c r="U8" s="25">
        <f t="shared" si="0"/>
        <v>1005</v>
      </c>
      <c r="V8" s="25">
        <f t="shared" si="1"/>
        <v>1375</v>
      </c>
      <c r="W8" s="26">
        <f t="shared" si="2"/>
        <v>1666</v>
      </c>
      <c r="X8" s="27">
        <f t="shared" si="3"/>
        <v>157113</v>
      </c>
      <c r="Y8" s="27">
        <f t="shared" si="4"/>
        <v>193743</v>
      </c>
    </row>
    <row r="9" s="30" customFormat="1" ht="21" customHeight="1" spans="1:25">
      <c r="A9" s="13" t="s">
        <v>32</v>
      </c>
      <c r="B9" s="11">
        <v>120</v>
      </c>
      <c r="C9" s="11"/>
      <c r="D9" s="11">
        <v>374</v>
      </c>
      <c r="E9" s="11">
        <v>353</v>
      </c>
      <c r="F9" s="11"/>
      <c r="G9" s="11">
        <v>54</v>
      </c>
      <c r="H9" s="11"/>
      <c r="I9" s="11"/>
      <c r="J9" s="11">
        <v>13</v>
      </c>
      <c r="K9" s="11"/>
      <c r="L9" s="11"/>
      <c r="M9" s="11"/>
      <c r="N9" s="11"/>
      <c r="O9" s="11"/>
      <c r="P9" s="11"/>
      <c r="Q9" s="40"/>
      <c r="R9" s="11">
        <v>8</v>
      </c>
      <c r="S9" s="40"/>
      <c r="T9" s="40"/>
      <c r="U9" s="25">
        <f t="shared" si="0"/>
        <v>420</v>
      </c>
      <c r="V9" s="25">
        <f t="shared" si="1"/>
        <v>540</v>
      </c>
      <c r="W9" s="26">
        <f t="shared" si="2"/>
        <v>594</v>
      </c>
      <c r="X9" s="27">
        <f t="shared" si="3"/>
        <v>51975</v>
      </c>
      <c r="Y9" s="27">
        <f t="shared" si="4"/>
        <v>63855</v>
      </c>
    </row>
    <row r="10" s="30" customFormat="1" ht="21" customHeight="1" spans="1:25">
      <c r="A10" s="13" t="s">
        <v>33</v>
      </c>
      <c r="B10" s="11">
        <v>524</v>
      </c>
      <c r="C10" s="11">
        <v>4</v>
      </c>
      <c r="D10" s="11">
        <v>507</v>
      </c>
      <c r="E10" s="11">
        <v>519</v>
      </c>
      <c r="F10" s="11">
        <v>0</v>
      </c>
      <c r="G10" s="11">
        <v>102</v>
      </c>
      <c r="H10" s="11">
        <v>0</v>
      </c>
      <c r="I10" s="11">
        <v>0</v>
      </c>
      <c r="J10" s="11">
        <v>17</v>
      </c>
      <c r="K10" s="11">
        <v>33</v>
      </c>
      <c r="L10" s="11">
        <v>0</v>
      </c>
      <c r="M10" s="11">
        <v>0</v>
      </c>
      <c r="N10" s="11"/>
      <c r="O10" s="11"/>
      <c r="P10" s="11"/>
      <c r="Q10" s="40"/>
      <c r="R10" s="11">
        <v>4</v>
      </c>
      <c r="S10" s="40">
        <v>3</v>
      </c>
      <c r="T10" s="40"/>
      <c r="U10" s="25">
        <f t="shared" si="0"/>
        <v>675</v>
      </c>
      <c r="V10" s="25">
        <f t="shared" si="1"/>
        <v>1199</v>
      </c>
      <c r="W10" s="26">
        <f t="shared" si="2"/>
        <v>1466</v>
      </c>
      <c r="X10" s="27">
        <f t="shared" si="3"/>
        <v>86916.5</v>
      </c>
      <c r="Y10" s="27">
        <f t="shared" si="4"/>
        <v>138792.5</v>
      </c>
    </row>
    <row r="11" s="30" customFormat="1" ht="21" customHeight="1" spans="1:25">
      <c r="A11" s="13" t="s">
        <v>34</v>
      </c>
      <c r="B11" s="11">
        <v>605</v>
      </c>
      <c r="C11" s="11">
        <v>31</v>
      </c>
      <c r="D11" s="11">
        <v>342</v>
      </c>
      <c r="E11" s="11">
        <v>303</v>
      </c>
      <c r="F11" s="11">
        <v>3</v>
      </c>
      <c r="G11" s="11">
        <v>82</v>
      </c>
      <c r="H11" s="11">
        <v>0</v>
      </c>
      <c r="I11" s="11">
        <v>0</v>
      </c>
      <c r="J11" s="11">
        <v>2</v>
      </c>
      <c r="K11" s="11">
        <v>16</v>
      </c>
      <c r="L11" s="11">
        <v>7</v>
      </c>
      <c r="M11" s="11"/>
      <c r="N11" s="11"/>
      <c r="O11" s="11"/>
      <c r="P11" s="11"/>
      <c r="Q11" s="40"/>
      <c r="R11" s="11"/>
      <c r="S11" s="40">
        <v>2</v>
      </c>
      <c r="T11" s="40"/>
      <c r="U11" s="25">
        <f t="shared" si="0"/>
        <v>444</v>
      </c>
      <c r="V11" s="25">
        <f t="shared" si="1"/>
        <v>1049</v>
      </c>
      <c r="W11" s="26">
        <f t="shared" si="2"/>
        <v>1239</v>
      </c>
      <c r="X11" s="27">
        <f t="shared" si="3"/>
        <v>60236</v>
      </c>
      <c r="Y11" s="27">
        <f t="shared" si="4"/>
        <v>120131</v>
      </c>
    </row>
    <row r="12" s="30" customFormat="1" ht="21" customHeight="1" spans="1:25">
      <c r="A12" s="13" t="s">
        <v>35</v>
      </c>
      <c r="B12" s="11">
        <v>205</v>
      </c>
      <c r="C12" s="11">
        <v>38</v>
      </c>
      <c r="D12" s="11">
        <v>329</v>
      </c>
      <c r="E12" s="11">
        <v>294</v>
      </c>
      <c r="F12" s="11">
        <v>0</v>
      </c>
      <c r="G12" s="11">
        <v>60</v>
      </c>
      <c r="H12" s="11">
        <v>0</v>
      </c>
      <c r="I12" s="11">
        <v>4</v>
      </c>
      <c r="J12" s="11">
        <v>2</v>
      </c>
      <c r="K12" s="11">
        <v>15</v>
      </c>
      <c r="L12" s="11"/>
      <c r="M12" s="11"/>
      <c r="N12" s="11"/>
      <c r="O12" s="11"/>
      <c r="P12" s="11"/>
      <c r="Q12" s="40"/>
      <c r="R12" s="11">
        <v>8</v>
      </c>
      <c r="S12" s="40">
        <v>3</v>
      </c>
      <c r="T12" s="40"/>
      <c r="U12" s="25">
        <f t="shared" si="0"/>
        <v>413</v>
      </c>
      <c r="V12" s="25">
        <f t="shared" si="1"/>
        <v>618</v>
      </c>
      <c r="W12" s="26">
        <f t="shared" si="2"/>
        <v>761</v>
      </c>
      <c r="X12" s="27">
        <f t="shared" si="3"/>
        <v>55005.5</v>
      </c>
      <c r="Y12" s="27">
        <f t="shared" si="4"/>
        <v>75300.5</v>
      </c>
    </row>
    <row r="13" s="30" customFormat="1" ht="21" customHeight="1" spans="1:25">
      <c r="A13" s="13" t="s">
        <v>36</v>
      </c>
      <c r="B13" s="11">
        <v>248</v>
      </c>
      <c r="C13" s="11">
        <v>138</v>
      </c>
      <c r="D13" s="11">
        <v>718</v>
      </c>
      <c r="E13" s="11">
        <v>422</v>
      </c>
      <c r="F13" s="11">
        <v>1</v>
      </c>
      <c r="G13" s="11">
        <v>223</v>
      </c>
      <c r="H13" s="11">
        <v>9</v>
      </c>
      <c r="I13" s="11">
        <v>12</v>
      </c>
      <c r="J13" s="11">
        <v>2</v>
      </c>
      <c r="K13" s="11">
        <v>1</v>
      </c>
      <c r="L13" s="11">
        <v>0</v>
      </c>
      <c r="M13" s="11">
        <v>0</v>
      </c>
      <c r="N13" s="11">
        <v>7</v>
      </c>
      <c r="O13" s="11"/>
      <c r="P13" s="11"/>
      <c r="Q13" s="40"/>
      <c r="R13" s="11">
        <v>8</v>
      </c>
      <c r="S13" s="40"/>
      <c r="T13" s="40"/>
      <c r="U13" s="25">
        <f t="shared" si="0"/>
        <v>815</v>
      </c>
      <c r="V13" s="25">
        <f t="shared" si="1"/>
        <v>1063</v>
      </c>
      <c r="W13" s="26">
        <f t="shared" si="2"/>
        <v>1361</v>
      </c>
      <c r="X13" s="27">
        <f t="shared" si="3"/>
        <v>130335</v>
      </c>
      <c r="Y13" s="27">
        <f t="shared" si="4"/>
        <v>154887</v>
      </c>
    </row>
    <row r="14" s="30" customFormat="1" ht="21" customHeight="1" spans="1:25">
      <c r="A14" s="13" t="s">
        <v>37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40"/>
      <c r="R14" s="11"/>
      <c r="S14" s="40"/>
      <c r="T14" s="40"/>
      <c r="U14" s="25">
        <f t="shared" si="0"/>
        <v>0</v>
      </c>
      <c r="V14" s="25">
        <f t="shared" si="1"/>
        <v>0</v>
      </c>
      <c r="W14" s="26">
        <f t="shared" si="2"/>
        <v>0</v>
      </c>
      <c r="X14" s="27">
        <f t="shared" si="3"/>
        <v>0</v>
      </c>
      <c r="Y14" s="27">
        <f t="shared" si="4"/>
        <v>0</v>
      </c>
    </row>
    <row r="15" s="30" customFormat="1" ht="21" customHeight="1" spans="1:25">
      <c r="A15" s="13" t="s">
        <v>38</v>
      </c>
      <c r="B15" s="11">
        <v>251</v>
      </c>
      <c r="C15" s="11">
        <v>19</v>
      </c>
      <c r="D15" s="11">
        <v>774</v>
      </c>
      <c r="E15" s="11">
        <v>765</v>
      </c>
      <c r="F15" s="11">
        <v>1</v>
      </c>
      <c r="G15" s="11">
        <v>108</v>
      </c>
      <c r="H15" s="11">
        <v>0</v>
      </c>
      <c r="I15" s="11">
        <v>0</v>
      </c>
      <c r="J15" s="11">
        <v>11</v>
      </c>
      <c r="K15" s="11">
        <v>15</v>
      </c>
      <c r="L15" s="11">
        <v>0</v>
      </c>
      <c r="M15" s="11">
        <v>1</v>
      </c>
      <c r="N15" s="11">
        <v>0</v>
      </c>
      <c r="O15" s="11">
        <v>9</v>
      </c>
      <c r="P15" s="11"/>
      <c r="Q15" s="40"/>
      <c r="R15" s="11">
        <v>6</v>
      </c>
      <c r="S15" s="40">
        <v>2</v>
      </c>
      <c r="T15" s="40"/>
      <c r="U15" s="25">
        <f t="shared" si="0"/>
        <v>929</v>
      </c>
      <c r="V15" s="25">
        <f t="shared" si="1"/>
        <v>1180</v>
      </c>
      <c r="W15" s="26">
        <f t="shared" si="2"/>
        <v>1399</v>
      </c>
      <c r="X15" s="27">
        <f t="shared" si="3"/>
        <v>114966.5</v>
      </c>
      <c r="Y15" s="27">
        <f t="shared" si="4"/>
        <v>139815.5</v>
      </c>
    </row>
    <row r="16" s="30" customFormat="1" ht="21" customHeight="1" spans="1:25">
      <c r="A16" s="13" t="s">
        <v>39</v>
      </c>
      <c r="B16" s="11">
        <v>432</v>
      </c>
      <c r="C16" s="11">
        <v>128</v>
      </c>
      <c r="D16" s="11">
        <v>857</v>
      </c>
      <c r="E16" s="11">
        <v>590</v>
      </c>
      <c r="F16" s="11"/>
      <c r="G16" s="11">
        <v>251</v>
      </c>
      <c r="H16" s="11">
        <v>1</v>
      </c>
      <c r="I16" s="11"/>
      <c r="J16" s="11">
        <v>5</v>
      </c>
      <c r="K16" s="11">
        <v>14</v>
      </c>
      <c r="L16" s="11">
        <v>2</v>
      </c>
      <c r="M16" s="11"/>
      <c r="N16" s="11"/>
      <c r="O16" s="11"/>
      <c r="P16" s="11"/>
      <c r="Q16" s="40"/>
      <c r="R16" s="11">
        <v>6</v>
      </c>
      <c r="S16" s="40">
        <v>3</v>
      </c>
      <c r="T16" s="40"/>
      <c r="U16" s="25">
        <f t="shared" si="0"/>
        <v>991</v>
      </c>
      <c r="V16" s="25">
        <f t="shared" si="1"/>
        <v>1423</v>
      </c>
      <c r="W16" s="26">
        <f t="shared" si="2"/>
        <v>1754</v>
      </c>
      <c r="X16" s="27">
        <f t="shared" si="3"/>
        <v>148782.5</v>
      </c>
      <c r="Y16" s="27">
        <f t="shared" si="4"/>
        <v>191550.5</v>
      </c>
    </row>
    <row r="17" s="30" customFormat="1" ht="21" customHeight="1" spans="1:25">
      <c r="A17" s="13" t="s">
        <v>40</v>
      </c>
      <c r="B17" s="11">
        <v>317</v>
      </c>
      <c r="C17" s="11">
        <v>19</v>
      </c>
      <c r="D17" s="11">
        <v>430</v>
      </c>
      <c r="E17" s="11">
        <v>454</v>
      </c>
      <c r="F17" s="11">
        <v>0</v>
      </c>
      <c r="G17" s="11">
        <v>28</v>
      </c>
      <c r="H17" s="11">
        <v>0</v>
      </c>
      <c r="I17" s="40">
        <v>0</v>
      </c>
      <c r="J17" s="11">
        <v>10</v>
      </c>
      <c r="K17" s="11">
        <v>19</v>
      </c>
      <c r="L17" s="11">
        <v>0</v>
      </c>
      <c r="M17" s="11">
        <v>0</v>
      </c>
      <c r="N17" s="11">
        <v>0</v>
      </c>
      <c r="O17" s="11">
        <v>0</v>
      </c>
      <c r="P17" s="11"/>
      <c r="Q17" s="40"/>
      <c r="R17" s="11">
        <v>4</v>
      </c>
      <c r="S17" s="40">
        <v>2</v>
      </c>
      <c r="T17" s="40"/>
      <c r="U17" s="25">
        <f t="shared" si="0"/>
        <v>530</v>
      </c>
      <c r="V17" s="25">
        <f t="shared" si="1"/>
        <v>847</v>
      </c>
      <c r="W17" s="26">
        <f t="shared" si="2"/>
        <v>970</v>
      </c>
      <c r="X17" s="27">
        <f t="shared" si="3"/>
        <v>60269</v>
      </c>
      <c r="Y17" s="27">
        <f t="shared" si="4"/>
        <v>91652</v>
      </c>
    </row>
    <row r="18" s="30" customFormat="1" ht="21" customHeight="1" spans="1:25">
      <c r="A18" s="13" t="s">
        <v>41</v>
      </c>
      <c r="B18" s="11">
        <v>345</v>
      </c>
      <c r="C18" s="11">
        <v>38</v>
      </c>
      <c r="D18" s="11">
        <v>241</v>
      </c>
      <c r="E18" s="11">
        <v>200</v>
      </c>
      <c r="F18" s="11">
        <v>1</v>
      </c>
      <c r="G18" s="11">
        <v>41</v>
      </c>
      <c r="H18" s="11">
        <v>0</v>
      </c>
      <c r="I18" s="40">
        <v>0</v>
      </c>
      <c r="J18" s="11">
        <v>1</v>
      </c>
      <c r="K18" s="11">
        <v>27</v>
      </c>
      <c r="L18" s="11">
        <v>0</v>
      </c>
      <c r="M18" s="11">
        <v>0</v>
      </c>
      <c r="N18" s="11">
        <v>0</v>
      </c>
      <c r="O18" s="11"/>
      <c r="P18" s="11"/>
      <c r="Q18" s="40"/>
      <c r="R18" s="11">
        <v>2</v>
      </c>
      <c r="S18" s="40">
        <v>2</v>
      </c>
      <c r="T18" s="40"/>
      <c r="U18" s="25">
        <f t="shared" si="0"/>
        <v>308</v>
      </c>
      <c r="V18" s="25">
        <f t="shared" si="1"/>
        <v>653</v>
      </c>
      <c r="W18" s="26">
        <f t="shared" si="2"/>
        <v>829</v>
      </c>
      <c r="X18" s="27">
        <f t="shared" si="3"/>
        <v>40639.5</v>
      </c>
      <c r="Y18" s="27">
        <f t="shared" si="4"/>
        <v>74794.5</v>
      </c>
    </row>
    <row r="19" s="30" customFormat="1" ht="21" customHeight="1" spans="1:25">
      <c r="A19" s="13" t="s">
        <v>42</v>
      </c>
      <c r="B19" s="11">
        <v>553</v>
      </c>
      <c r="C19" s="11">
        <v>9</v>
      </c>
      <c r="D19" s="11">
        <v>502</v>
      </c>
      <c r="E19" s="11">
        <v>496</v>
      </c>
      <c r="F19" s="11">
        <v>0</v>
      </c>
      <c r="G19" s="11">
        <v>76</v>
      </c>
      <c r="H19" s="11">
        <v>0</v>
      </c>
      <c r="I19" s="40">
        <v>0</v>
      </c>
      <c r="J19" s="11">
        <v>14</v>
      </c>
      <c r="K19" s="11">
        <v>19</v>
      </c>
      <c r="L19" s="11">
        <v>0</v>
      </c>
      <c r="M19" s="11"/>
      <c r="N19" s="11"/>
      <c r="O19" s="11"/>
      <c r="P19" s="11"/>
      <c r="Q19" s="40"/>
      <c r="R19" s="11">
        <v>2</v>
      </c>
      <c r="S19" s="40">
        <v>3</v>
      </c>
      <c r="T19" s="40"/>
      <c r="U19" s="25">
        <f t="shared" si="0"/>
        <v>614</v>
      </c>
      <c r="V19" s="25">
        <f t="shared" si="1"/>
        <v>1167</v>
      </c>
      <c r="W19" s="26">
        <f t="shared" si="2"/>
        <v>1338</v>
      </c>
      <c r="X19" s="27">
        <f t="shared" si="3"/>
        <v>76395</v>
      </c>
      <c r="Y19" s="27">
        <f t="shared" si="4"/>
        <v>131142</v>
      </c>
    </row>
    <row r="20" s="30" customFormat="1" ht="21" customHeight="1" spans="1:25">
      <c r="A20" s="13" t="s">
        <v>43</v>
      </c>
      <c r="B20" s="11">
        <v>309</v>
      </c>
      <c r="C20" s="11">
        <v>5</v>
      </c>
      <c r="D20" s="11">
        <v>501</v>
      </c>
      <c r="E20" s="11">
        <v>479</v>
      </c>
      <c r="F20" s="11">
        <v>2</v>
      </c>
      <c r="G20" s="11">
        <v>91</v>
      </c>
      <c r="H20" s="11">
        <v>0</v>
      </c>
      <c r="I20" s="40">
        <v>0</v>
      </c>
      <c r="J20" s="11">
        <v>13</v>
      </c>
      <c r="K20" s="11">
        <v>33</v>
      </c>
      <c r="L20" s="11">
        <v>11</v>
      </c>
      <c r="M20" s="11">
        <v>0</v>
      </c>
      <c r="N20" s="11"/>
      <c r="O20" s="11"/>
      <c r="P20" s="11"/>
      <c r="Q20" s="40"/>
      <c r="R20" s="11">
        <v>8</v>
      </c>
      <c r="S20" s="40">
        <v>2</v>
      </c>
      <c r="T20" s="40"/>
      <c r="U20" s="25">
        <f t="shared" si="0"/>
        <v>634</v>
      </c>
      <c r="V20" s="25">
        <f t="shared" si="1"/>
        <v>943</v>
      </c>
      <c r="W20" s="26">
        <f t="shared" si="2"/>
        <v>1243</v>
      </c>
      <c r="X20" s="27">
        <f t="shared" si="3"/>
        <v>80404.5</v>
      </c>
      <c r="Y20" s="27">
        <f t="shared" si="4"/>
        <v>110995.5</v>
      </c>
    </row>
    <row r="21" s="30" customFormat="1" ht="21" customHeight="1" spans="1:25">
      <c r="A21" s="13" t="s">
        <v>44</v>
      </c>
      <c r="B21" s="11">
        <v>597</v>
      </c>
      <c r="C21" s="11">
        <v>7</v>
      </c>
      <c r="D21" s="11">
        <v>879</v>
      </c>
      <c r="E21" s="11">
        <v>858</v>
      </c>
      <c r="F21" s="11">
        <v>2</v>
      </c>
      <c r="G21" s="11">
        <v>94</v>
      </c>
      <c r="H21" s="11">
        <v>0</v>
      </c>
      <c r="I21" s="40">
        <v>0</v>
      </c>
      <c r="J21" s="11">
        <v>28</v>
      </c>
      <c r="K21" s="11">
        <v>19</v>
      </c>
      <c r="L21" s="11">
        <v>8</v>
      </c>
      <c r="M21" s="11">
        <v>0</v>
      </c>
      <c r="N21" s="11"/>
      <c r="O21" s="11"/>
      <c r="P21" s="11"/>
      <c r="Q21" s="40"/>
      <c r="R21" s="11">
        <v>8</v>
      </c>
      <c r="S21" s="40">
        <v>3</v>
      </c>
      <c r="T21" s="40"/>
      <c r="U21" s="25">
        <f t="shared" si="0"/>
        <v>1016</v>
      </c>
      <c r="V21" s="25">
        <f t="shared" si="1"/>
        <v>1613</v>
      </c>
      <c r="W21" s="26">
        <f t="shared" si="2"/>
        <v>1834</v>
      </c>
      <c r="X21" s="27">
        <f t="shared" si="3"/>
        <v>119938.5</v>
      </c>
      <c r="Y21" s="27">
        <f t="shared" si="4"/>
        <v>179041.5</v>
      </c>
    </row>
    <row r="22" s="30" customFormat="1" ht="21" customHeight="1" spans="1:25">
      <c r="A22" s="13" t="s">
        <v>45</v>
      </c>
      <c r="B22" s="11">
        <v>395</v>
      </c>
      <c r="C22" s="11">
        <v>142</v>
      </c>
      <c r="D22" s="11">
        <v>944</v>
      </c>
      <c r="E22" s="11">
        <v>807</v>
      </c>
      <c r="F22" s="11">
        <v>1</v>
      </c>
      <c r="G22" s="11">
        <v>232</v>
      </c>
      <c r="H22" s="11">
        <v>0</v>
      </c>
      <c r="I22" s="40">
        <v>0</v>
      </c>
      <c r="J22" s="11">
        <v>11</v>
      </c>
      <c r="K22" s="11">
        <v>0</v>
      </c>
      <c r="L22" s="11"/>
      <c r="M22" s="11"/>
      <c r="N22" s="11"/>
      <c r="O22" s="11"/>
      <c r="P22" s="11"/>
      <c r="Q22" s="40"/>
      <c r="R22" s="11">
        <v>8</v>
      </c>
      <c r="S22" s="40"/>
      <c r="T22" s="40"/>
      <c r="U22" s="25">
        <f t="shared" si="0"/>
        <v>1193</v>
      </c>
      <c r="V22" s="25">
        <f t="shared" si="1"/>
        <v>1588</v>
      </c>
      <c r="W22" s="26">
        <f t="shared" si="2"/>
        <v>1820</v>
      </c>
      <c r="X22" s="27">
        <f t="shared" si="3"/>
        <v>165737</v>
      </c>
      <c r="Y22" s="27">
        <f t="shared" si="4"/>
        <v>204842</v>
      </c>
    </row>
    <row r="23" s="30" customFormat="1" ht="21" customHeight="1" spans="1:25">
      <c r="A23" s="13" t="s">
        <v>46</v>
      </c>
      <c r="B23" s="11">
        <v>355</v>
      </c>
      <c r="C23" s="11">
        <v>4</v>
      </c>
      <c r="D23" s="11">
        <v>524</v>
      </c>
      <c r="E23" s="11">
        <v>575</v>
      </c>
      <c r="F23" s="11">
        <v>1</v>
      </c>
      <c r="G23" s="11">
        <v>54</v>
      </c>
      <c r="H23" s="11">
        <v>0</v>
      </c>
      <c r="I23" s="40">
        <v>0</v>
      </c>
      <c r="J23" s="11">
        <v>6</v>
      </c>
      <c r="K23" s="11">
        <v>27</v>
      </c>
      <c r="L23" s="11">
        <v>6</v>
      </c>
      <c r="M23" s="11"/>
      <c r="N23" s="11"/>
      <c r="O23" s="11"/>
      <c r="P23" s="11"/>
      <c r="Q23" s="40"/>
      <c r="R23" s="11">
        <v>6</v>
      </c>
      <c r="S23" s="40">
        <v>3</v>
      </c>
      <c r="T23" s="40"/>
      <c r="U23" s="25">
        <f t="shared" si="0"/>
        <v>673</v>
      </c>
      <c r="V23" s="25">
        <f t="shared" si="1"/>
        <v>1028</v>
      </c>
      <c r="W23" s="26">
        <f t="shared" si="2"/>
        <v>1241</v>
      </c>
      <c r="X23" s="27">
        <f t="shared" si="3"/>
        <v>78738</v>
      </c>
      <c r="Y23" s="27">
        <f t="shared" si="4"/>
        <v>113883</v>
      </c>
    </row>
    <row r="24" s="30" customFormat="1" ht="21" customHeight="1" spans="1:25">
      <c r="A24" s="13" t="s">
        <v>47</v>
      </c>
      <c r="B24" s="11">
        <v>234</v>
      </c>
      <c r="C24" s="11">
        <v>4</v>
      </c>
      <c r="D24" s="11">
        <v>434</v>
      </c>
      <c r="E24" s="11">
        <v>440</v>
      </c>
      <c r="F24" s="11">
        <v>0</v>
      </c>
      <c r="G24" s="11">
        <v>56</v>
      </c>
      <c r="H24" s="11">
        <v>0</v>
      </c>
      <c r="I24" s="40">
        <v>0</v>
      </c>
      <c r="J24" s="11">
        <v>11</v>
      </c>
      <c r="K24" s="11">
        <v>17</v>
      </c>
      <c r="L24" s="11">
        <v>3</v>
      </c>
      <c r="M24" s="11">
        <v>0</v>
      </c>
      <c r="N24" s="11"/>
      <c r="O24" s="11"/>
      <c r="P24" s="11"/>
      <c r="Q24" s="40"/>
      <c r="R24" s="11">
        <v>8</v>
      </c>
      <c r="S24" s="40">
        <v>3</v>
      </c>
      <c r="T24" s="40"/>
      <c r="U24" s="25">
        <f t="shared" si="0"/>
        <v>531</v>
      </c>
      <c r="V24" s="25">
        <f t="shared" si="1"/>
        <v>765</v>
      </c>
      <c r="W24" s="26">
        <f t="shared" si="2"/>
        <v>918</v>
      </c>
      <c r="X24" s="27">
        <f t="shared" si="3"/>
        <v>64207</v>
      </c>
      <c r="Y24" s="27">
        <f t="shared" si="4"/>
        <v>87373</v>
      </c>
    </row>
    <row r="25" s="30" customFormat="1" ht="21" customHeight="1" spans="1:25">
      <c r="A25" s="13" t="s">
        <v>49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 t="s">
        <v>56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50</v>
      </c>
      <c r="B28" s="11"/>
      <c r="C28" s="11"/>
      <c r="D28" s="11"/>
      <c r="E28" s="11"/>
      <c r="F28" s="11"/>
      <c r="G28" s="11"/>
      <c r="H28" s="11"/>
      <c r="I28" s="40"/>
      <c r="J28" s="11"/>
      <c r="K28" s="11"/>
      <c r="L28" s="11"/>
      <c r="M28" s="11"/>
      <c r="N28" s="11"/>
      <c r="O28" s="11"/>
      <c r="P28" s="11"/>
      <c r="Q28" s="40"/>
      <c r="R28" s="40"/>
      <c r="S28" s="40"/>
      <c r="T28" s="40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>
        <v>80</v>
      </c>
      <c r="C29" s="11">
        <v>67</v>
      </c>
      <c r="D29" s="11">
        <v>765</v>
      </c>
      <c r="E29" s="11">
        <v>677</v>
      </c>
      <c r="F29" s="34">
        <v>0</v>
      </c>
      <c r="G29" s="11">
        <v>182</v>
      </c>
      <c r="H29" s="34">
        <v>0</v>
      </c>
      <c r="I29" s="34">
        <v>0</v>
      </c>
      <c r="J29" s="11">
        <v>8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3</v>
      </c>
      <c r="Q29" s="34"/>
      <c r="R29" s="34"/>
      <c r="S29" s="34"/>
      <c r="T29" s="34"/>
      <c r="U29" s="28">
        <f t="shared" si="0"/>
        <v>937</v>
      </c>
      <c r="V29" s="25">
        <f t="shared" si="1"/>
        <v>1017</v>
      </c>
      <c r="W29" s="26">
        <v>0</v>
      </c>
      <c r="X29" s="28">
        <f t="shared" si="3"/>
        <v>128727.5</v>
      </c>
      <c r="Y29" s="28">
        <f t="shared" si="4"/>
        <v>136647.5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6866</v>
      </c>
      <c r="C31" s="36">
        <f t="shared" si="5"/>
        <v>1136</v>
      </c>
      <c r="D31" s="36">
        <f t="shared" si="5"/>
        <v>12613</v>
      </c>
      <c r="E31" s="36">
        <f t="shared" si="5"/>
        <v>10807</v>
      </c>
      <c r="F31" s="36">
        <f t="shared" si="5"/>
        <v>14</v>
      </c>
      <c r="G31" s="36">
        <f t="shared" si="5"/>
        <v>2667</v>
      </c>
      <c r="H31" s="36">
        <f t="shared" si="5"/>
        <v>46</v>
      </c>
      <c r="I31" s="36">
        <f t="shared" si="5"/>
        <v>17</v>
      </c>
      <c r="J31" s="36">
        <f t="shared" si="5"/>
        <v>203</v>
      </c>
      <c r="K31" s="36">
        <f t="shared" si="5"/>
        <v>255</v>
      </c>
      <c r="L31" s="36">
        <f t="shared" si="5"/>
        <v>37</v>
      </c>
      <c r="M31" s="36">
        <f t="shared" si="5"/>
        <v>1</v>
      </c>
      <c r="N31" s="36">
        <f t="shared" si="5"/>
        <v>18</v>
      </c>
      <c r="O31" s="36">
        <f t="shared" si="5"/>
        <v>45</v>
      </c>
      <c r="P31" s="36">
        <f t="shared" si="5"/>
        <v>3</v>
      </c>
      <c r="Q31" s="36">
        <f t="shared" si="5"/>
        <v>80</v>
      </c>
      <c r="R31" s="36">
        <f t="shared" si="5"/>
        <v>200</v>
      </c>
      <c r="S31" s="36">
        <f t="shared" si="5"/>
        <v>31</v>
      </c>
      <c r="T31" s="36">
        <f t="shared" si="5"/>
        <v>0</v>
      </c>
      <c r="U31" s="15">
        <f t="shared" si="5"/>
        <v>15249</v>
      </c>
      <c r="V31" s="25">
        <f t="shared" si="1"/>
        <v>22115</v>
      </c>
      <c r="W31" s="26">
        <f>SUM(W4:W30)</f>
        <v>25464</v>
      </c>
      <c r="X31" s="29">
        <f>SUM(X4:X30)</f>
        <v>2068444</v>
      </c>
      <c r="Y31" s="27">
        <f t="shared" si="4"/>
        <v>2748178</v>
      </c>
    </row>
    <row r="32" s="30" customFormat="1" ht="21" customHeight="1" spans="1:25">
      <c r="A32" s="14" t="s">
        <v>53</v>
      </c>
      <c r="B32" s="15">
        <f t="shared" ref="B32:P32" si="6">B31*B3</f>
        <v>679734</v>
      </c>
      <c r="C32" s="15">
        <f t="shared" si="6"/>
        <v>149952</v>
      </c>
      <c r="D32" s="15">
        <f t="shared" si="6"/>
        <v>69371.5</v>
      </c>
      <c r="E32" s="15">
        <f t="shared" si="6"/>
        <v>1069893</v>
      </c>
      <c r="F32" s="15">
        <f t="shared" si="6"/>
        <v>770</v>
      </c>
      <c r="G32" s="37">
        <f t="shared" si="6"/>
        <v>704088</v>
      </c>
      <c r="H32" s="15">
        <f t="shared" si="6"/>
        <v>14260</v>
      </c>
      <c r="I32" s="15">
        <f t="shared" si="6"/>
        <v>4862</v>
      </c>
      <c r="J32" s="15">
        <f t="shared" si="6"/>
        <v>11165</v>
      </c>
      <c r="K32" s="15">
        <f t="shared" si="6"/>
        <v>33660</v>
      </c>
      <c r="L32" s="15">
        <f t="shared" si="6"/>
        <v>1221</v>
      </c>
      <c r="M32" s="15">
        <f t="shared" si="6"/>
        <v>27.5</v>
      </c>
      <c r="N32" s="15">
        <f t="shared" si="6"/>
        <v>2574</v>
      </c>
      <c r="O32" s="15">
        <f t="shared" si="6"/>
        <v>6435</v>
      </c>
      <c r="P32" s="15">
        <f t="shared" si="6"/>
        <v>165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2068444</v>
      </c>
      <c r="Y32" s="29">
        <f>SUM(B32:P32)</f>
        <v>2748178</v>
      </c>
    </row>
    <row r="33" ht="21" customHeight="1"/>
  </sheetData>
  <protectedRanges>
    <protectedRange sqref="H16 H5:H9 H14" name="区域1_3"/>
    <protectedRange sqref="R4:T4 Q5:T28 M16 M25:M28 M5:M9 M22:M23 M11:M12 M14 M19:M20" name="区域1_3_1_1_2_1"/>
    <protectedRange sqref="E29:G31" name="区域1_1_1_2"/>
    <protectedRange sqref="R4:T4 Q5:T28 M16 M25:M28 M5:M9 M22:M23 M11:M12 M14 M19:M20" name="区域1_3_1_1_1"/>
    <protectedRange sqref="P15 N16:P16 P17 N5:P12 O13:P13 N14:P14 O18:P18 N19:P28" name="区域1_8_1"/>
    <protectedRange sqref="H16 H5:H9 H14" name="区域1_3_1_2"/>
    <protectedRange sqref="H16 H5:H9 H14" name="区域1_3_2_2"/>
    <protectedRange sqref="R4:T4 Q5:T28 M16 M25:M28 M5:M9 M22:M23 M11:M12 M14 M19:M20" name="区域1_3_1_1_3_1"/>
    <protectedRange sqref="H16 H5:H9 H14" name="区域1_3_2_1_1"/>
    <protectedRange sqref="P15 N16:P16 P17 N5:P12 O13:P13 N14:P14 O18:P18 N19:P28" name="区域1_8_2_1_1"/>
    <protectedRange sqref="E29:G31" name="区域1_1_1"/>
    <protectedRange sqref="B16:C16 B25:C28 B5:C9 B20:C20 B14:C14" name="区域1_4"/>
    <protectedRange sqref="P15 N16:P16 P17 N5:P12 O13:P13 N14:P14 O18:P18 N19:P28" name="区域1_8"/>
    <protectedRange sqref="H16 H5:H9 H14" name="区域1_3_2"/>
    <protectedRange sqref="H16 H5:H9 H14" name="区域1_3_2_1"/>
    <protectedRange sqref="E29:G31" name="区域1_1"/>
    <protectedRange sqref="E29:G31" name="区域1_1_1_1"/>
    <protectedRange sqref="P15 N16:P16 P17 N5:P12 O13:P13 N14:P14 O18:P18 N19:P28" name="区域1_8_1_2"/>
    <protectedRange sqref="M23 M19 J16:M16 J25:M28 J5:M9 L22:M22 J20:M20 M11 J14:M14 L12:M12" name="区域1_6_1_1"/>
    <protectedRange sqref="B16:C16 B25:C28 B5:C9 B20:C20 B14:C14" name="区域1"/>
    <protectedRange sqref="I16 I5:I9 I14" name="区域1_5_1"/>
    <protectedRange sqref="R4:T4 Q5:T28" name="区域1_3_1_1_1_2"/>
    <protectedRange sqref="P15 N16:P16 P17 N5:P12 O13:P13 N14:P14 O18:P18 N19:P28" name="区域1_8_1_3"/>
    <protectedRange sqref="F16 F25:F28 F5:F9 F20 F14" name="区域1_2"/>
    <protectedRange sqref="P5:P28" name="区域1_8_1_3_1"/>
    <protectedRange sqref="E30:G31 F29" name="区域1_1_1_3"/>
    <protectedRange sqref="R4:T4 Q5:T28" name="区域1_3_1_1_3_1_1"/>
    <protectedRange sqref="F16 F25:F28 F5:F9 F20 F14" name="区域1_2_1_1"/>
    <protectedRange sqref="N29:P31" name="区域1_7_1"/>
    <protectedRange sqref="B16 B25:B28 B5:B9 B20 B14" name="区域1_4_2"/>
    <protectedRange sqref="E16 E25:E28 E5:E9 E20 E14" name="区域1_9"/>
    <protectedRange sqref="J16:L16 J25:L28 J5:L9 L22 J20:L20 L12 J13:L14" name="区域1_12"/>
    <protectedRange sqref="D16 D25:D28 D5:D9 D20 D14" name="区域1_13"/>
    <protectedRange sqref="J29" name="区域1_15"/>
    <protectedRange sqref="E29" name="区域1_17"/>
    <protectedRange sqref="E29:G31 E33:G33" name="区域1_1_2"/>
    <protectedRange sqref="E29:G31 E33:G33" name="区域1_1_1_4"/>
    <protectedRange sqref="P20 N21:P28 N5:P12 O13:P13 N14:P14 P15 R20:R24 R5:R18 N16:P16 P17 O18:P18" name="区域1_8_1_1"/>
    <protectedRange sqref="B25:C26 B14:C14 B5:C9 B16:C16" name="区域1_4_1"/>
    <protectedRange sqref="R4:T4 M14 Q20:Q24 S20:T24 Q25:T28 Q5:Q18 S5:T18 M5:M9 M11:M12 M16 M25:M28 M22:M23" name="区域1_3_1_1"/>
    <protectedRange sqref="P20 N21:P28 N5:P12 O13:P13 N14:P14 P15 R20:R24 R5:R18 N16:P16 P17 O18:P18" name="区域1_8_2"/>
    <protectedRange sqref="H14 H16 H5:H9" name="区域1_3_1"/>
    <protectedRange sqref="H14 H16 H5:H9" name="区域1_3_2_3"/>
    <protectedRange sqref="R4:T4 M14 Q20:Q24 S20:T24 Q25:T28 Q5:Q18 S5:T18 M5:M9 M11:M12 M16 M25:M28 M22:M23" name="区域1_3_1_1_3"/>
    <protectedRange sqref="H14 H16 H5:H9" name="区域1_3_2_1_2"/>
    <protectedRange sqref="P20 N21:P28 N5:P12 O13:P13 N14:P14 P15 R20:R24 R5:R18 N16:P16 P17 O18:P18" name="区域1_8_2_1"/>
    <protectedRange sqref="E29:G31 E33:G33" name="区域1_1_3"/>
    <protectedRange sqref="K27:M28 J25:M26 L12:M12 J14:M14 J5:M9 M11 J16:M16 L22:M22 M23" name="区域1_6"/>
    <protectedRange sqref="E29:G31 E33:G33" name="区域1_1_1_1_1"/>
    <protectedRange sqref="R4:T4 M14 Q20:Q24 S20:T24 Q25:T28 Q5:Q18 S5:T18 M5:M9 M11:M12 M16 M25:M28 M22:M23" name="区域1_3_1_1_1_1"/>
    <protectedRange sqref="P20 N21:P28 N5:P12 O13:P13 N14:P14 P15 R20:R24 R5:R18 N16:P16 P17 O18:P18" name="区域1_8_1_2_1"/>
    <protectedRange sqref="E29:G31 E33:G33" name="区域1_1_1_2_1"/>
    <protectedRange sqref="K27:M28 J25:M26 L12:M12 J14:M14 J5:M9 M11 J16:M16 L22:M22 M23" name="区域1_6_1"/>
    <protectedRange sqref="D25:D26 D14 D5:D9 D16" name="区域1_4_1_1"/>
    <protectedRange sqref="B25:C26 B14:C14 B5:C9 B16:C16" name="区域1_5"/>
    <protectedRange sqref="E25:G26 E14:G14 E5:G9 E16:G16" name="区域1_2_1_2"/>
    <protectedRange sqref="I14 I16 I5:I9" name="区域1_5_1_1"/>
    <protectedRange sqref="N29:P31" name="区域1_7"/>
    <protectedRange sqref="R4:T4 Q20:Q24 S20:T24 Q25:T28 Q5:Q18 S5:T18" name="区域1_3_1_1_1_3"/>
    <protectedRange sqref="E30:G31 F29 E33:G33" name="区域1_1_3_1"/>
    <protectedRange sqref="P20 N21:P28 N5:P12 O13:P13 N14:P14 P15 R20:R24 R5:R18 N16:P16 P17 O18:P18" name="区域1_8_1_4"/>
    <protectedRange sqref="E30:G31 F29 E33:G33" name="区域1_1_1_1_1_1"/>
    <protectedRange sqref="F25:F26 F14 F5:F9 F16" name="区域1_2_1"/>
    <protectedRange sqref="R4:T4 Q20:Q24 S20:T24 Q25:T28 Q5:Q18 S5:T18" name="区域1_3_1_1_1_2_1"/>
    <protectedRange sqref="P20:P28 R5:R18 R20:R24 P5:P18" name="区域1_8_1_3_2"/>
    <protectedRange sqref="R4:T4 Q20:Q24 S20:T24 Q25:T28 Q5:Q18 S5:T18" name="区域1_3_1_1_2"/>
    <protectedRange sqref="E30:G31 F29 E33:G33" name="区域1_1_1_3_1"/>
    <protectedRange sqref="P20 N21:P28 N5:P12 O13:P13 N14:P14 P15 R20:R24 R5:R18 N16:P16 P17 O18:P18" name="区域1_8_2_2"/>
    <protectedRange sqref="R4:T4 Q20:Q24 S20:T24 Q25:T28 Q5:Q18 S5:T18" name="区域1_3_1_1_3_1_2"/>
    <protectedRange sqref="E30:G31 F29 E33:G33" name="区域1_1_1_2_1_1"/>
    <protectedRange sqref="F25:F26 F14 F5:F9 F16" name="区域1_2_1_3"/>
    <protectedRange sqref="I14 I16 I5:I9" name="区域1_5_2"/>
    <protectedRange sqref="N29:P31" name="区域1_7_1_1"/>
    <protectedRange sqref="P20:P28 R5:R18 R20:R24 P5:P18" name="区域1_8_2_1_1_1"/>
    <protectedRange sqref="B25:B26 B14 B5:B9 B16" name="区域1_4_2_1"/>
    <protectedRange sqref="C25:C26 C14 C5:C9 C16" name="区域1_3_3"/>
    <protectedRange sqref="E25:E26 E14 E5:E9 E16" name="区域1_9_1"/>
    <protectedRange sqref="G25:G26 G14 G5:G9 G16" name="区域1_10"/>
    <protectedRange sqref="H25:H26 H5:H9 H16 H14" name="区域1_3_3_1"/>
    <protectedRange sqref="K27:L28 J25:L26 L12 J14:L14 J5:L9 J16:L16 L22" name="区域1_12_1"/>
    <protectedRange sqref="O13 M14:O14 M5:O9 N10:O10 M11:O12 M16:O16 N24:O24 M25:O28 N21:O21 M22:O23 O18" name="区域1_6_2"/>
    <protectedRange sqref="D25:D26 D14 D5:D9 D16" name="区域1_13_1"/>
    <protectedRange sqref="D29" name="区域1_14"/>
    <protectedRange sqref="J29" name="区域1_15_1"/>
    <protectedRange sqref="B29:C29" name="区域1_16"/>
    <protectedRange sqref="E29" name="区域1_17_1"/>
    <protectedRange sqref="G29" name="区域1_18"/>
    <protectedRange sqref="E19:G19" name="区域1_1_1_2_2"/>
    <protectedRange sqref="E19:G19" name="区域1_1_1_1_3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1_1_5"/>
    <protectedRange sqref="E4:G4" name="区域1_1_1_2_5"/>
    <protectedRange sqref="E23:G23" name="区域1_1_1_1_6"/>
    <protectedRange sqref="E23:G23" name="区域1_1_1_2_6"/>
    <protectedRange sqref="E20:G20" name="区域1_1_8"/>
    <protectedRange sqref="E20:G20" name="区域1_1_1_1_7"/>
    <protectedRange sqref="E20:G20" name="区域1_1_1_8"/>
    <protectedRange sqref="E20:G20" name="区域1_1_1_2_7"/>
    <protectedRange sqref="N20:O20" name="区域1_7_4"/>
    <protectedRange sqref="E24:G24" name="区域1_1_1_1_8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_1_10"/>
    <protectedRange sqref="E22:G22" name="区域1_1_1_2_10"/>
    <protectedRange sqref="E21:G21" name="区域1_1_1_1_11"/>
    <protectedRange sqref="E21:G21" name="区域1_1_1_2_11"/>
    <protectedRange sqref="E12:G12" name="区域1_1_1_1_12"/>
    <protectedRange sqref="E12:G12" name="区域1_1_1_2_12"/>
    <protectedRange sqref="E13:G13" name="区域1_1_1_1_13"/>
    <protectedRange sqref="E13:G13" name="区域1_1_1_2_13"/>
    <protectedRange sqref="E15:G15" name="区域1_1_1_1_14"/>
    <protectedRange sqref="E15:G15" name="区域1_1_1_2_14"/>
    <protectedRange sqref="E10:G10" name="区域1_1_1_1_15"/>
    <protectedRange sqref="E10:G10" name="区域1_1_1_2_15"/>
    <protectedRange sqref="E11:G11" name="区域1_1_1_1_16"/>
    <protectedRange sqref="E11:G11" name="区域1_1_1_2_16"/>
    <protectedRange sqref="E18:G18" name="区域1_1_1_1_17"/>
    <protectedRange sqref="E18:G18" name="区域1_1_1_2_17"/>
    <protectedRange sqref="E17:G17" name="区域1_1_1_1_18"/>
    <protectedRange sqref="E17:G17" name="区域1_1_1_2_18"/>
    <protectedRange sqref="E23:G23" name="区域1_1_7"/>
    <protectedRange sqref="E23:G23" name="区域1_1_1_1_19"/>
    <protectedRange sqref="E23:G23" name="区域1_1_1_7"/>
    <protectedRange sqref="E23:G23" name="区域1_1_1_2_19"/>
    <protectedRange sqref="E15:G15" name="区域1_1_15"/>
    <protectedRange sqref="E15:G15" name="区域1_1_1_1_20"/>
    <protectedRange sqref="E15:G15" name="区域1_1_1_15"/>
    <protectedRange sqref="E15:G15" name="区域1_1_1_2_20"/>
    <protectedRange sqref="N15:O15" name="区域1_7_6"/>
    <protectedRange sqref="E19:G19" name="区域1_1_4"/>
    <protectedRange sqref="E19:G19" name="区域1_1_1_1_2"/>
    <protectedRange sqref="E19:G19" name="区域1_1_1_20"/>
    <protectedRange sqref="E19:G19" name="区域1_1_1_2_21"/>
    <protectedRange sqref="E10:G10" name="区域1_1_16"/>
    <protectedRange sqref="E10:G10" name="区域1_1_1_1_21"/>
    <protectedRange sqref="E10:G10" name="区域1_1_1_16"/>
    <protectedRange sqref="E10:G10" name="区域1_1_1_2_22"/>
    <protectedRange sqref="E17:G17" name="区域1_1_19"/>
    <protectedRange sqref="E17:G17" name="区域1_1_1_1_22"/>
    <protectedRange sqref="E17:G17" name="区域1_1_1_19"/>
    <protectedRange sqref="E17:G17" name="区域1_1_1_2_23"/>
    <protectedRange sqref="N17:O17" name="区域1_7_7"/>
    <protectedRange sqref="E24:G24" name="区域1_1_9"/>
    <protectedRange sqref="E24:G24" name="区域1_1_1_1_23"/>
    <protectedRange sqref="E24:G24" name="区域1_1_1_9"/>
    <protectedRange sqref="E24:G24" name="区域1_1_1_2_24"/>
    <protectedRange sqref="E4:G4" name="区域1_1_6"/>
    <protectedRange sqref="E4:G4" name="区域1_1_1_1_24"/>
    <protectedRange sqref="E4:G4" name="区域1_1_1_6"/>
    <protectedRange sqref="E4:G4" name="区域1_1_1_2_25"/>
    <protectedRange sqref="N4:P4" name="区域1_7_3"/>
    <protectedRange sqref="E22:G22" name="区域1_1_11"/>
    <protectedRange sqref="E22:G22" name="区域1_1_1_1_25"/>
    <protectedRange sqref="E22:G22" name="区域1_1_1_11"/>
    <protectedRange sqref="E22:G22" name="区域1_1_1_2_26"/>
    <protectedRange sqref="E21:G21" name="区域1_1_12"/>
    <protectedRange sqref="E21:G21" name="区域1_1_1_1_26"/>
    <protectedRange sqref="E21:G21" name="区域1_1_1_12"/>
    <protectedRange sqref="E21:G21" name="区域1_1_1_2_27"/>
    <protectedRange sqref="E11:G11" name="区域1_1_17"/>
    <protectedRange sqref="E11:G11" name="区域1_1_1_1_27"/>
    <protectedRange sqref="E11:G11" name="区域1_1_1_17"/>
    <protectedRange sqref="E11:G11" name="区域1_1_1_2_28"/>
    <protectedRange sqref="E13:G13" name="区域1_1_14"/>
    <protectedRange sqref="E13:G13" name="区域1_1_1_1_28"/>
    <protectedRange sqref="E13:G13" name="区域1_1_1_14"/>
    <protectedRange sqref="E13:G13" name="区域1_1_1_2_29"/>
    <protectedRange sqref="N13" name="区域1_7_5"/>
    <protectedRange sqref="E18:G18" name="区域1_1_18"/>
    <protectedRange sqref="E18:G18" name="区域1_1_1_1_29"/>
    <protectedRange sqref="E18:G18" name="区域1_1_1_18"/>
    <protectedRange sqref="E18:G18" name="区域1_1_1_2_30"/>
    <protectedRange sqref="N18" name="区域1_7_8"/>
    <protectedRange sqref="E12:G12" name="区域1_1_13"/>
    <protectedRange sqref="E12:G12" name="区域1_1_1_1_30"/>
    <protectedRange sqref="E12:G12" name="区域1_1_1_13"/>
    <protectedRange sqref="E12:G12" name="区域1_1_1_2_31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pageSetup paperSize="9" scale="6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3"/>
  <sheetViews>
    <sheetView zoomScale="85" zoomScaleNormal="85" workbookViewId="0">
      <selection activeCell="L18" sqref="L18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23</v>
      </c>
      <c r="C4" s="11">
        <v>54</v>
      </c>
      <c r="D4" s="11">
        <v>556</v>
      </c>
      <c r="E4" s="11">
        <v>432</v>
      </c>
      <c r="F4" s="11"/>
      <c r="G4" s="11">
        <v>165</v>
      </c>
      <c r="H4" s="11">
        <v>41</v>
      </c>
      <c r="I4" s="11">
        <v>13</v>
      </c>
      <c r="J4" s="11">
        <v>4</v>
      </c>
      <c r="K4" s="11"/>
      <c r="L4" s="11"/>
      <c r="M4" s="11"/>
      <c r="N4" s="11">
        <v>6</v>
      </c>
      <c r="O4" s="11">
        <v>39</v>
      </c>
      <c r="P4" s="11"/>
      <c r="Q4" s="41">
        <v>270</v>
      </c>
      <c r="R4" s="42">
        <v>111</v>
      </c>
      <c r="S4" s="42"/>
      <c r="T4" s="42"/>
      <c r="U4" s="25">
        <f t="shared" ref="U4:U29" si="0">SUM(C4:P4)-D4</f>
        <v>754</v>
      </c>
      <c r="V4" s="25">
        <f t="shared" ref="V4:V31" si="1">SUM(B4:P4)-D4</f>
        <v>777</v>
      </c>
      <c r="W4" s="26">
        <f t="shared" ref="W4:W28" si="2">B4+C4+E4+F4+G4*2+H4*3+I4*3+J4+K4*6+L4*5+M4+N4*5+O4*5+P4+Q4</f>
        <v>1500</v>
      </c>
      <c r="X4" s="27">
        <f t="shared" ref="X4:X30" si="3">C4*$C$3+D4*$D$3+E4*$E$3+F4*$F$3+G4*$G$3+H4*$H$3+I4*$I$3+J4*$J$3+K4*$K$3+L4*$L$3+M4*$M$3+N4*$N$3+O4*$O$3+P4*$P$3</f>
        <v>119597</v>
      </c>
      <c r="Y4" s="27">
        <f t="shared" ref="Y4:Y31" si="4">B4*99+C4*$C$3+D4*$D$3+E4*$E$3+F4*$F$3+G4*$G$3+H4*$H$3+I4*$I$3+J4*$J$3+K4*$K$3+L4*$L$3+M4*$M$3+N4*$N$3+O4*$O$3+P4*$P$3</f>
        <v>121874</v>
      </c>
    </row>
    <row r="5" s="30" customFormat="1" ht="21" customHeight="1" spans="1:25">
      <c r="A5" s="13" t="s">
        <v>28</v>
      </c>
      <c r="B5" s="11">
        <v>144</v>
      </c>
      <c r="C5" s="11"/>
      <c r="D5" s="11">
        <v>510</v>
      </c>
      <c r="E5" s="11">
        <v>512</v>
      </c>
      <c r="F5" s="11"/>
      <c r="G5" s="11">
        <v>98</v>
      </c>
      <c r="H5" s="11"/>
      <c r="I5" s="11"/>
      <c r="J5" s="11">
        <v>30</v>
      </c>
      <c r="K5" s="11">
        <v>1</v>
      </c>
      <c r="L5" s="11"/>
      <c r="M5" s="11"/>
      <c r="N5" s="11"/>
      <c r="O5" s="11"/>
      <c r="P5" s="11"/>
      <c r="Q5" s="40"/>
      <c r="R5" s="11">
        <v>10</v>
      </c>
      <c r="S5" s="40"/>
      <c r="T5" s="40"/>
      <c r="U5" s="25">
        <f t="shared" si="0"/>
        <v>641</v>
      </c>
      <c r="V5" s="25">
        <f t="shared" si="1"/>
        <v>785</v>
      </c>
      <c r="W5" s="26">
        <f t="shared" si="2"/>
        <v>888</v>
      </c>
      <c r="X5" s="27">
        <f t="shared" si="3"/>
        <v>81147</v>
      </c>
      <c r="Y5" s="27">
        <f t="shared" si="4"/>
        <v>95403</v>
      </c>
    </row>
    <row r="6" s="30" customFormat="1" ht="21" customHeight="1" spans="1:25">
      <c r="A6" s="13" t="s">
        <v>29</v>
      </c>
      <c r="B6" s="11">
        <v>255</v>
      </c>
      <c r="C6" s="11">
        <v>104</v>
      </c>
      <c r="D6" s="11">
        <v>501</v>
      </c>
      <c r="E6" s="11">
        <v>339</v>
      </c>
      <c r="F6" s="11"/>
      <c r="G6" s="11">
        <v>124</v>
      </c>
      <c r="H6" s="11"/>
      <c r="I6" s="11"/>
      <c r="J6" s="11">
        <v>2</v>
      </c>
      <c r="K6" s="11"/>
      <c r="L6" s="11"/>
      <c r="M6" s="11"/>
      <c r="N6" s="11"/>
      <c r="O6" s="11"/>
      <c r="P6" s="11"/>
      <c r="Q6" s="40"/>
      <c r="R6" s="11">
        <v>10</v>
      </c>
      <c r="S6" s="40"/>
      <c r="T6" s="40"/>
      <c r="U6" s="25">
        <f t="shared" si="0"/>
        <v>569</v>
      </c>
      <c r="V6" s="25">
        <f t="shared" si="1"/>
        <v>824</v>
      </c>
      <c r="W6" s="26">
        <f t="shared" si="2"/>
        <v>948</v>
      </c>
      <c r="X6" s="27">
        <f t="shared" si="3"/>
        <v>82890.5</v>
      </c>
      <c r="Y6" s="27">
        <f t="shared" si="4"/>
        <v>108135.5</v>
      </c>
    </row>
    <row r="7" s="30" customFormat="1" ht="21" customHeight="1" spans="1:25">
      <c r="A7" s="13" t="s">
        <v>30</v>
      </c>
      <c r="B7" s="11">
        <v>423</v>
      </c>
      <c r="C7" s="11">
        <v>116</v>
      </c>
      <c r="D7" s="11">
        <v>693</v>
      </c>
      <c r="E7" s="11">
        <v>524</v>
      </c>
      <c r="F7" s="11"/>
      <c r="G7" s="11">
        <v>167</v>
      </c>
      <c r="H7" s="11"/>
      <c r="I7" s="11"/>
      <c r="J7" s="11">
        <v>7</v>
      </c>
      <c r="K7" s="11"/>
      <c r="L7" s="11"/>
      <c r="M7" s="11"/>
      <c r="N7" s="11"/>
      <c r="O7" s="11"/>
      <c r="P7" s="11"/>
      <c r="Q7" s="40"/>
      <c r="R7" s="11">
        <v>4</v>
      </c>
      <c r="S7" s="40"/>
      <c r="T7" s="40"/>
      <c r="U7" s="25">
        <f t="shared" si="0"/>
        <v>814</v>
      </c>
      <c r="V7" s="25">
        <f t="shared" si="1"/>
        <v>1237</v>
      </c>
      <c r="W7" s="26">
        <f t="shared" si="2"/>
        <v>1404</v>
      </c>
      <c r="X7" s="27">
        <f t="shared" si="3"/>
        <v>115472.5</v>
      </c>
      <c r="Y7" s="27">
        <f t="shared" si="4"/>
        <v>157349.5</v>
      </c>
    </row>
    <row r="8" s="30" customFormat="1" ht="21" customHeight="1" spans="1:25">
      <c r="A8" s="13" t="s">
        <v>31</v>
      </c>
      <c r="B8" s="11">
        <v>335</v>
      </c>
      <c r="C8" s="11">
        <v>141</v>
      </c>
      <c r="D8" s="11">
        <v>626</v>
      </c>
      <c r="E8" s="11">
        <v>345</v>
      </c>
      <c r="F8" s="11">
        <v>1</v>
      </c>
      <c r="G8" s="11">
        <v>197</v>
      </c>
      <c r="H8" s="11"/>
      <c r="I8" s="11"/>
      <c r="J8" s="11">
        <v>4</v>
      </c>
      <c r="K8" s="11"/>
      <c r="L8" s="11"/>
      <c r="M8" s="11"/>
      <c r="N8" s="11"/>
      <c r="O8" s="11"/>
      <c r="P8" s="11"/>
      <c r="Q8" s="40"/>
      <c r="R8" s="11">
        <v>8</v>
      </c>
      <c r="S8" s="40"/>
      <c r="T8" s="40"/>
      <c r="U8" s="25">
        <f t="shared" si="0"/>
        <v>688</v>
      </c>
      <c r="V8" s="25">
        <f t="shared" si="1"/>
        <v>1023</v>
      </c>
      <c r="W8" s="26">
        <f t="shared" si="2"/>
        <v>1220</v>
      </c>
      <c r="X8" s="27">
        <f t="shared" si="3"/>
        <v>108493</v>
      </c>
      <c r="Y8" s="27">
        <f t="shared" si="4"/>
        <v>141658</v>
      </c>
    </row>
    <row r="9" s="30" customFormat="1" ht="21" customHeight="1" spans="1:25">
      <c r="A9" s="13" t="s">
        <v>32</v>
      </c>
      <c r="B9" s="11">
        <v>31</v>
      </c>
      <c r="C9" s="11"/>
      <c r="D9" s="11">
        <v>362</v>
      </c>
      <c r="E9" s="11">
        <v>333</v>
      </c>
      <c r="F9" s="11"/>
      <c r="G9" s="11">
        <v>57</v>
      </c>
      <c r="H9" s="11"/>
      <c r="I9" s="11"/>
      <c r="J9" s="11">
        <v>8</v>
      </c>
      <c r="K9" s="11"/>
      <c r="L9" s="11"/>
      <c r="M9" s="11"/>
      <c r="N9" s="11"/>
      <c r="O9" s="11"/>
      <c r="P9" s="11"/>
      <c r="Q9" s="40"/>
      <c r="R9" s="11">
        <v>8</v>
      </c>
      <c r="S9" s="40"/>
      <c r="T9" s="40"/>
      <c r="U9" s="25">
        <f t="shared" si="0"/>
        <v>398</v>
      </c>
      <c r="V9" s="25">
        <f t="shared" si="1"/>
        <v>429</v>
      </c>
      <c r="W9" s="26">
        <f t="shared" si="2"/>
        <v>486</v>
      </c>
      <c r="X9" s="27">
        <f t="shared" si="3"/>
        <v>50446</v>
      </c>
      <c r="Y9" s="27">
        <f t="shared" si="4"/>
        <v>53515</v>
      </c>
    </row>
    <row r="10" s="30" customFormat="1" ht="21" customHeight="1" spans="1:25">
      <c r="A10" s="13" t="s">
        <v>33</v>
      </c>
      <c r="B10" s="11">
        <v>144</v>
      </c>
      <c r="C10" s="11"/>
      <c r="D10" s="11">
        <v>498</v>
      </c>
      <c r="E10" s="11">
        <v>532</v>
      </c>
      <c r="F10" s="11"/>
      <c r="G10" s="11">
        <v>92</v>
      </c>
      <c r="H10" s="11"/>
      <c r="I10" s="11"/>
      <c r="J10" s="11">
        <v>22</v>
      </c>
      <c r="K10" s="11">
        <v>17</v>
      </c>
      <c r="L10" s="11"/>
      <c r="M10" s="11"/>
      <c r="N10" s="11"/>
      <c r="O10" s="11"/>
      <c r="P10" s="11"/>
      <c r="Q10" s="40"/>
      <c r="R10" s="11">
        <v>2</v>
      </c>
      <c r="S10" s="40">
        <v>3</v>
      </c>
      <c r="T10" s="40"/>
      <c r="U10" s="25">
        <f t="shared" si="0"/>
        <v>663</v>
      </c>
      <c r="V10" s="25">
        <f t="shared" si="1"/>
        <v>807</v>
      </c>
      <c r="W10" s="26">
        <f t="shared" si="2"/>
        <v>984</v>
      </c>
      <c r="X10" s="27">
        <f t="shared" si="3"/>
        <v>83149</v>
      </c>
      <c r="Y10" s="27">
        <f t="shared" si="4"/>
        <v>97405</v>
      </c>
    </row>
    <row r="11" s="30" customFormat="1" ht="21" customHeight="1" spans="1:25">
      <c r="A11" s="13" t="s">
        <v>34</v>
      </c>
      <c r="B11" s="11">
        <v>185</v>
      </c>
      <c r="C11" s="11">
        <v>70</v>
      </c>
      <c r="D11" s="11">
        <v>509</v>
      </c>
      <c r="E11" s="11">
        <v>392</v>
      </c>
      <c r="F11" s="11"/>
      <c r="G11" s="11">
        <v>102</v>
      </c>
      <c r="H11" s="11"/>
      <c r="I11" s="11"/>
      <c r="J11" s="11">
        <v>7</v>
      </c>
      <c r="K11" s="11">
        <v>18</v>
      </c>
      <c r="L11" s="11">
        <v>7</v>
      </c>
      <c r="M11" s="11"/>
      <c r="N11" s="11"/>
      <c r="O11" s="11"/>
      <c r="P11" s="11"/>
      <c r="Q11" s="40"/>
      <c r="R11" s="11"/>
      <c r="S11" s="40">
        <v>4</v>
      </c>
      <c r="T11" s="40"/>
      <c r="U11" s="25">
        <f t="shared" si="0"/>
        <v>596</v>
      </c>
      <c r="V11" s="25">
        <f t="shared" si="1"/>
        <v>781</v>
      </c>
      <c r="W11" s="26">
        <f t="shared" si="2"/>
        <v>1001</v>
      </c>
      <c r="X11" s="27">
        <f t="shared" si="3"/>
        <v>80767.5</v>
      </c>
      <c r="Y11" s="27">
        <f t="shared" si="4"/>
        <v>99082.5</v>
      </c>
    </row>
    <row r="12" s="30" customFormat="1" ht="21" customHeight="1" spans="1:25">
      <c r="A12" s="13" t="s">
        <v>35</v>
      </c>
      <c r="B12" s="11">
        <v>227</v>
      </c>
      <c r="C12" s="11">
        <v>42</v>
      </c>
      <c r="D12" s="11">
        <v>320</v>
      </c>
      <c r="E12" s="11">
        <v>245</v>
      </c>
      <c r="F12" s="11"/>
      <c r="G12" s="11">
        <v>81</v>
      </c>
      <c r="H12" s="11">
        <v>1</v>
      </c>
      <c r="I12" s="11">
        <v>1</v>
      </c>
      <c r="J12" s="11">
        <v>2</v>
      </c>
      <c r="K12" s="11">
        <v>16</v>
      </c>
      <c r="L12" s="11"/>
      <c r="M12" s="11"/>
      <c r="N12" s="11"/>
      <c r="O12" s="11"/>
      <c r="P12" s="11"/>
      <c r="Q12" s="40"/>
      <c r="R12" s="11">
        <v>9</v>
      </c>
      <c r="S12" s="40">
        <v>2</v>
      </c>
      <c r="T12" s="40"/>
      <c r="U12" s="25">
        <f t="shared" si="0"/>
        <v>388</v>
      </c>
      <c r="V12" s="25">
        <f t="shared" si="1"/>
        <v>615</v>
      </c>
      <c r="W12" s="26">
        <f t="shared" si="2"/>
        <v>780</v>
      </c>
      <c r="X12" s="27">
        <f t="shared" si="3"/>
        <v>55761</v>
      </c>
      <c r="Y12" s="27">
        <f t="shared" si="4"/>
        <v>78234</v>
      </c>
    </row>
    <row r="13" s="30" customFormat="1" ht="21" customHeight="1" spans="1:25">
      <c r="A13" s="13" t="s">
        <v>36</v>
      </c>
      <c r="B13" s="11">
        <v>130</v>
      </c>
      <c r="C13" s="11">
        <v>76</v>
      </c>
      <c r="D13" s="11">
        <v>531</v>
      </c>
      <c r="E13" s="11">
        <v>363</v>
      </c>
      <c r="F13" s="11">
        <v>1</v>
      </c>
      <c r="G13" s="11">
        <v>157</v>
      </c>
      <c r="H13" s="11">
        <v>6</v>
      </c>
      <c r="I13" s="11">
        <v>13</v>
      </c>
      <c r="J13" s="11">
        <v>4</v>
      </c>
      <c r="K13" s="11"/>
      <c r="L13" s="11"/>
      <c r="M13" s="11"/>
      <c r="N13" s="11">
        <v>2</v>
      </c>
      <c r="O13" s="11"/>
      <c r="P13" s="11"/>
      <c r="Q13" s="40"/>
      <c r="R13" s="11">
        <v>7</v>
      </c>
      <c r="S13" s="40"/>
      <c r="T13" s="40"/>
      <c r="U13" s="25">
        <f t="shared" si="0"/>
        <v>622</v>
      </c>
      <c r="V13" s="25">
        <f t="shared" si="1"/>
        <v>752</v>
      </c>
      <c r="W13" s="26">
        <f t="shared" si="2"/>
        <v>955</v>
      </c>
      <c r="X13" s="27">
        <f t="shared" si="3"/>
        <v>96476.5</v>
      </c>
      <c r="Y13" s="27">
        <f t="shared" si="4"/>
        <v>109346.5</v>
      </c>
    </row>
    <row r="14" s="30" customFormat="1" ht="21" customHeight="1" spans="1:25">
      <c r="A14" s="13" t="s">
        <v>37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40"/>
      <c r="R14" s="11"/>
      <c r="S14" s="40"/>
      <c r="T14" s="40"/>
      <c r="U14" s="25">
        <f t="shared" si="0"/>
        <v>0</v>
      </c>
      <c r="V14" s="25">
        <f t="shared" si="1"/>
        <v>0</v>
      </c>
      <c r="W14" s="26">
        <f t="shared" si="2"/>
        <v>0</v>
      </c>
      <c r="X14" s="27">
        <f t="shared" si="3"/>
        <v>0</v>
      </c>
      <c r="Y14" s="27">
        <f t="shared" si="4"/>
        <v>0</v>
      </c>
    </row>
    <row r="15" s="30" customFormat="1" ht="21" customHeight="1" spans="1:25">
      <c r="A15" s="13" t="s">
        <v>38</v>
      </c>
      <c r="B15" s="11">
        <v>190</v>
      </c>
      <c r="C15" s="11">
        <v>15</v>
      </c>
      <c r="D15" s="11">
        <v>449</v>
      </c>
      <c r="E15" s="11">
        <v>424</v>
      </c>
      <c r="F15" s="11"/>
      <c r="G15" s="11">
        <v>85</v>
      </c>
      <c r="H15" s="11"/>
      <c r="I15" s="11"/>
      <c r="J15" s="11">
        <v>11</v>
      </c>
      <c r="K15" s="11">
        <v>20</v>
      </c>
      <c r="L15" s="11">
        <v>3</v>
      </c>
      <c r="M15" s="11"/>
      <c r="N15" s="11"/>
      <c r="O15" s="11">
        <v>7</v>
      </c>
      <c r="P15" s="11"/>
      <c r="Q15" s="40">
        <v>135</v>
      </c>
      <c r="R15" s="11">
        <v>48</v>
      </c>
      <c r="S15" s="40">
        <v>3</v>
      </c>
      <c r="T15" s="40"/>
      <c r="U15" s="25">
        <f t="shared" si="0"/>
        <v>565</v>
      </c>
      <c r="V15" s="25">
        <f t="shared" si="1"/>
        <v>755</v>
      </c>
      <c r="W15" s="26">
        <f t="shared" si="2"/>
        <v>1115</v>
      </c>
      <c r="X15" s="27">
        <f t="shared" si="3"/>
        <v>73210.5</v>
      </c>
      <c r="Y15" s="27">
        <f t="shared" si="4"/>
        <v>92020.5</v>
      </c>
    </row>
    <row r="16" s="30" customFormat="1" ht="21" customHeight="1" spans="1:25">
      <c r="A16" s="13" t="s">
        <v>39</v>
      </c>
      <c r="B16" s="11">
        <v>291</v>
      </c>
      <c r="C16" s="11">
        <v>80</v>
      </c>
      <c r="D16" s="11">
        <v>617</v>
      </c>
      <c r="E16" s="11">
        <v>550</v>
      </c>
      <c r="F16" s="11">
        <v>2</v>
      </c>
      <c r="G16" s="11">
        <v>147</v>
      </c>
      <c r="H16" s="11"/>
      <c r="I16" s="11"/>
      <c r="J16" s="11">
        <v>2</v>
      </c>
      <c r="K16" s="11">
        <v>13</v>
      </c>
      <c r="L16" s="11">
        <v>5</v>
      </c>
      <c r="M16" s="11"/>
      <c r="N16" s="11"/>
      <c r="O16" s="11"/>
      <c r="P16" s="11"/>
      <c r="Q16" s="40"/>
      <c r="R16" s="11">
        <v>8</v>
      </c>
      <c r="S16" s="40">
        <v>2</v>
      </c>
      <c r="T16" s="40"/>
      <c r="U16" s="25">
        <f t="shared" si="0"/>
        <v>799</v>
      </c>
      <c r="V16" s="25">
        <f t="shared" si="1"/>
        <v>1090</v>
      </c>
      <c r="W16" s="26">
        <f t="shared" si="2"/>
        <v>1322</v>
      </c>
      <c r="X16" s="27">
        <f t="shared" si="3"/>
        <v>109312.5</v>
      </c>
      <c r="Y16" s="27">
        <f t="shared" si="4"/>
        <v>138121.5</v>
      </c>
    </row>
    <row r="17" s="30" customFormat="1" ht="21" customHeight="1" spans="1:25">
      <c r="A17" s="13" t="s">
        <v>40</v>
      </c>
      <c r="B17" s="11">
        <v>324</v>
      </c>
      <c r="C17" s="11">
        <v>3</v>
      </c>
      <c r="D17" s="11">
        <v>504</v>
      </c>
      <c r="E17" s="11">
        <v>511</v>
      </c>
      <c r="F17" s="11"/>
      <c r="G17" s="11">
        <v>64</v>
      </c>
      <c r="H17" s="11"/>
      <c r="I17" s="40"/>
      <c r="J17" s="11">
        <v>20</v>
      </c>
      <c r="K17" s="11">
        <v>20</v>
      </c>
      <c r="L17" s="11"/>
      <c r="M17" s="11"/>
      <c r="N17" s="11"/>
      <c r="O17" s="11"/>
      <c r="P17" s="11"/>
      <c r="Q17" s="40"/>
      <c r="R17" s="11">
        <v>8</v>
      </c>
      <c r="S17" s="40">
        <v>3</v>
      </c>
      <c r="T17" s="40"/>
      <c r="U17" s="25">
        <f t="shared" si="0"/>
        <v>618</v>
      </c>
      <c r="V17" s="25">
        <f t="shared" si="1"/>
        <v>942</v>
      </c>
      <c r="W17" s="26">
        <f t="shared" si="2"/>
        <v>1106</v>
      </c>
      <c r="X17" s="27">
        <f t="shared" si="3"/>
        <v>74393</v>
      </c>
      <c r="Y17" s="27">
        <f t="shared" si="4"/>
        <v>106469</v>
      </c>
    </row>
    <row r="18" s="30" customFormat="1" ht="21" customHeight="1" spans="1:25">
      <c r="A18" s="13" t="s">
        <v>41</v>
      </c>
      <c r="B18" s="11">
        <v>277</v>
      </c>
      <c r="C18" s="11">
        <v>44</v>
      </c>
      <c r="D18" s="11">
        <v>298</v>
      </c>
      <c r="E18" s="11">
        <v>244</v>
      </c>
      <c r="F18" s="11"/>
      <c r="G18" s="11">
        <v>63</v>
      </c>
      <c r="H18" s="11"/>
      <c r="I18" s="40"/>
      <c r="J18" s="11"/>
      <c r="K18" s="11">
        <v>10</v>
      </c>
      <c r="L18" s="11"/>
      <c r="M18" s="11"/>
      <c r="N18" s="11"/>
      <c r="O18" s="11"/>
      <c r="P18" s="11"/>
      <c r="Q18" s="40"/>
      <c r="R18" s="11">
        <v>4</v>
      </c>
      <c r="S18" s="40">
        <v>3</v>
      </c>
      <c r="T18" s="40"/>
      <c r="U18" s="25">
        <f t="shared" si="0"/>
        <v>361</v>
      </c>
      <c r="V18" s="25">
        <f t="shared" si="1"/>
        <v>638</v>
      </c>
      <c r="W18" s="26">
        <f t="shared" si="2"/>
        <v>751</v>
      </c>
      <c r="X18" s="27">
        <f t="shared" si="3"/>
        <v>49555</v>
      </c>
      <c r="Y18" s="27">
        <f t="shared" si="4"/>
        <v>76978</v>
      </c>
    </row>
    <row r="19" s="30" customFormat="1" ht="21" customHeight="1" spans="1:25">
      <c r="A19" s="13" t="s">
        <v>42</v>
      </c>
      <c r="B19" s="11">
        <v>433</v>
      </c>
      <c r="C19" s="11">
        <v>5</v>
      </c>
      <c r="D19" s="11">
        <v>534</v>
      </c>
      <c r="E19" s="11">
        <v>588</v>
      </c>
      <c r="F19" s="11"/>
      <c r="G19" s="11">
        <v>43</v>
      </c>
      <c r="H19" s="11"/>
      <c r="I19" s="40"/>
      <c r="J19" s="11">
        <v>15</v>
      </c>
      <c r="K19" s="11">
        <v>19</v>
      </c>
      <c r="L19" s="11"/>
      <c r="M19" s="11"/>
      <c r="N19" s="11"/>
      <c r="O19" s="11"/>
      <c r="P19" s="11"/>
      <c r="Q19" s="40"/>
      <c r="R19" s="11">
        <v>4</v>
      </c>
      <c r="S19" s="40">
        <v>1</v>
      </c>
      <c r="T19" s="40"/>
      <c r="U19" s="25">
        <f t="shared" si="0"/>
        <v>670</v>
      </c>
      <c r="V19" s="25">
        <f t="shared" si="1"/>
        <v>1103</v>
      </c>
      <c r="W19" s="26">
        <f t="shared" si="2"/>
        <v>1241</v>
      </c>
      <c r="X19" s="27">
        <f t="shared" si="3"/>
        <v>76494</v>
      </c>
      <c r="Y19" s="27">
        <f t="shared" si="4"/>
        <v>119361</v>
      </c>
    </row>
    <row r="20" s="30" customFormat="1" ht="21" customHeight="1" spans="1:25">
      <c r="A20" s="13" t="s">
        <v>43</v>
      </c>
      <c r="B20" s="11">
        <v>212</v>
      </c>
      <c r="C20" s="11">
        <v>4</v>
      </c>
      <c r="D20" s="11">
        <v>408</v>
      </c>
      <c r="E20" s="11">
        <v>430</v>
      </c>
      <c r="F20" s="11"/>
      <c r="G20" s="11">
        <v>33</v>
      </c>
      <c r="H20" s="11"/>
      <c r="I20" s="40"/>
      <c r="J20" s="11">
        <v>10</v>
      </c>
      <c r="K20" s="11">
        <v>26</v>
      </c>
      <c r="L20" s="11">
        <v>3</v>
      </c>
      <c r="M20" s="11"/>
      <c r="N20" s="11"/>
      <c r="O20" s="11"/>
      <c r="P20" s="11"/>
      <c r="Q20" s="40"/>
      <c r="R20" s="11">
        <v>8</v>
      </c>
      <c r="S20" s="40">
        <v>3</v>
      </c>
      <c r="T20" s="40"/>
      <c r="U20" s="25">
        <f t="shared" si="0"/>
        <v>506</v>
      </c>
      <c r="V20" s="25">
        <f t="shared" si="1"/>
        <v>718</v>
      </c>
      <c r="W20" s="26">
        <f t="shared" si="2"/>
        <v>893</v>
      </c>
      <c r="X20" s="27">
        <f t="shared" si="3"/>
        <v>58135</v>
      </c>
      <c r="Y20" s="27">
        <f t="shared" si="4"/>
        <v>79123</v>
      </c>
    </row>
    <row r="21" s="30" customFormat="1" ht="21" customHeight="1" spans="1:25">
      <c r="A21" s="13" t="s">
        <v>44</v>
      </c>
      <c r="B21" s="11">
        <v>370</v>
      </c>
      <c r="C21" s="11">
        <v>14</v>
      </c>
      <c r="D21" s="11">
        <v>825</v>
      </c>
      <c r="E21" s="11">
        <v>858</v>
      </c>
      <c r="F21" s="11"/>
      <c r="G21" s="11">
        <v>100</v>
      </c>
      <c r="H21" s="11"/>
      <c r="I21" s="40"/>
      <c r="J21" s="11">
        <v>20</v>
      </c>
      <c r="K21" s="11">
        <v>18</v>
      </c>
      <c r="L21" s="11">
        <v>2</v>
      </c>
      <c r="M21" s="11"/>
      <c r="N21" s="11"/>
      <c r="O21" s="11"/>
      <c r="P21" s="11"/>
      <c r="Q21" s="40"/>
      <c r="R21" s="11">
        <v>8</v>
      </c>
      <c r="S21" s="40">
        <v>2</v>
      </c>
      <c r="T21" s="40"/>
      <c r="U21" s="25">
        <f t="shared" si="0"/>
        <v>1012</v>
      </c>
      <c r="V21" s="25">
        <f t="shared" si="1"/>
        <v>1382</v>
      </c>
      <c r="W21" s="26">
        <f t="shared" si="2"/>
        <v>1580</v>
      </c>
      <c r="X21" s="27">
        <f t="shared" si="3"/>
        <v>121269.5</v>
      </c>
      <c r="Y21" s="27">
        <f t="shared" si="4"/>
        <v>157899.5</v>
      </c>
    </row>
    <row r="22" s="30" customFormat="1" ht="21" customHeight="1" spans="1:25">
      <c r="A22" s="13" t="s">
        <v>45</v>
      </c>
      <c r="B22" s="11">
        <v>167</v>
      </c>
      <c r="C22" s="11">
        <v>204</v>
      </c>
      <c r="D22" s="11">
        <v>965</v>
      </c>
      <c r="E22" s="11">
        <v>626</v>
      </c>
      <c r="F22" s="11"/>
      <c r="G22" s="11">
        <v>264</v>
      </c>
      <c r="H22" s="11"/>
      <c r="I22" s="40"/>
      <c r="J22" s="11">
        <v>4</v>
      </c>
      <c r="K22" s="11"/>
      <c r="L22" s="11"/>
      <c r="M22" s="11"/>
      <c r="N22" s="11"/>
      <c r="O22" s="11"/>
      <c r="P22" s="11"/>
      <c r="Q22" s="40"/>
      <c r="R22" s="11">
        <v>10</v>
      </c>
      <c r="S22" s="40"/>
      <c r="T22" s="40"/>
      <c r="U22" s="25">
        <f t="shared" si="0"/>
        <v>1098</v>
      </c>
      <c r="V22" s="25">
        <f t="shared" si="1"/>
        <v>1265</v>
      </c>
      <c r="W22" s="26">
        <f t="shared" si="2"/>
        <v>1529</v>
      </c>
      <c r="X22" s="27">
        <f t="shared" si="3"/>
        <v>164125.5</v>
      </c>
      <c r="Y22" s="27">
        <f t="shared" si="4"/>
        <v>180658.5</v>
      </c>
    </row>
    <row r="23" s="30" customFormat="1" ht="21" customHeight="1" spans="1:25">
      <c r="A23" s="13" t="s">
        <v>46</v>
      </c>
      <c r="B23" s="11">
        <v>252</v>
      </c>
      <c r="C23" s="11">
        <v>1</v>
      </c>
      <c r="D23" s="11">
        <v>472</v>
      </c>
      <c r="E23" s="11">
        <v>514</v>
      </c>
      <c r="F23" s="11">
        <v>2</v>
      </c>
      <c r="G23" s="11">
        <v>29</v>
      </c>
      <c r="H23" s="11"/>
      <c r="I23" s="40"/>
      <c r="J23" s="11">
        <v>15</v>
      </c>
      <c r="K23" s="11">
        <v>15</v>
      </c>
      <c r="L23" s="11">
        <v>2</v>
      </c>
      <c r="M23" s="11"/>
      <c r="N23" s="11"/>
      <c r="O23" s="11"/>
      <c r="P23" s="11"/>
      <c r="Q23" s="40"/>
      <c r="R23" s="11">
        <v>6</v>
      </c>
      <c r="S23" s="40">
        <v>2</v>
      </c>
      <c r="T23" s="40"/>
      <c r="U23" s="25">
        <f t="shared" si="0"/>
        <v>578</v>
      </c>
      <c r="V23" s="25">
        <f t="shared" si="1"/>
        <v>830</v>
      </c>
      <c r="W23" s="26">
        <f t="shared" si="2"/>
        <v>942</v>
      </c>
      <c r="X23" s="27">
        <f t="shared" si="3"/>
        <v>64251</v>
      </c>
      <c r="Y23" s="27">
        <f t="shared" si="4"/>
        <v>89199</v>
      </c>
    </row>
    <row r="24" s="30" customFormat="1" ht="21" customHeight="1" spans="1:25">
      <c r="A24" s="13" t="s">
        <v>47</v>
      </c>
      <c r="B24" s="11">
        <v>261</v>
      </c>
      <c r="C24" s="11">
        <v>4</v>
      </c>
      <c r="D24" s="11">
        <v>421</v>
      </c>
      <c r="E24" s="11">
        <v>428</v>
      </c>
      <c r="F24" s="11"/>
      <c r="G24" s="11">
        <v>48</v>
      </c>
      <c r="H24" s="11"/>
      <c r="I24" s="40"/>
      <c r="J24" s="11">
        <v>14</v>
      </c>
      <c r="K24" s="11">
        <v>24</v>
      </c>
      <c r="L24" s="11">
        <v>3</v>
      </c>
      <c r="M24" s="11"/>
      <c r="N24" s="11"/>
      <c r="O24" s="11"/>
      <c r="P24" s="11"/>
      <c r="Q24" s="40"/>
      <c r="R24" s="11">
        <v>6</v>
      </c>
      <c r="S24" s="40">
        <v>2</v>
      </c>
      <c r="T24" s="40"/>
      <c r="U24" s="25">
        <f t="shared" si="0"/>
        <v>521</v>
      </c>
      <c r="V24" s="25">
        <f t="shared" si="1"/>
        <v>782</v>
      </c>
      <c r="W24" s="26">
        <f t="shared" si="2"/>
        <v>962</v>
      </c>
      <c r="X24" s="27">
        <f t="shared" si="3"/>
        <v>61924.5</v>
      </c>
      <c r="Y24" s="27">
        <f t="shared" si="4"/>
        <v>87763.5</v>
      </c>
    </row>
    <row r="25" s="30" customFormat="1" ht="21" customHeight="1" spans="1:25">
      <c r="A25" s="13"/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/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50</v>
      </c>
      <c r="B28" s="11"/>
      <c r="C28" s="11"/>
      <c r="D28" s="11"/>
      <c r="E28" s="11"/>
      <c r="F28" s="11"/>
      <c r="G28" s="11"/>
      <c r="H28" s="11"/>
      <c r="I28" s="40"/>
      <c r="J28" s="11"/>
      <c r="K28" s="11"/>
      <c r="L28" s="11"/>
      <c r="M28" s="11"/>
      <c r="N28" s="11"/>
      <c r="O28" s="11"/>
      <c r="P28" s="11"/>
      <c r="Q28" s="40"/>
      <c r="R28" s="40"/>
      <c r="S28" s="40"/>
      <c r="T28" s="40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>
        <v>81</v>
      </c>
      <c r="C29" s="11">
        <v>72</v>
      </c>
      <c r="D29" s="11">
        <v>703</v>
      </c>
      <c r="E29" s="11">
        <v>603</v>
      </c>
      <c r="F29" s="34">
        <v>7</v>
      </c>
      <c r="G29" s="11">
        <v>192</v>
      </c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874</v>
      </c>
      <c r="V29" s="25">
        <f t="shared" si="1"/>
        <v>955</v>
      </c>
      <c r="W29" s="26">
        <v>0</v>
      </c>
      <c r="X29" s="28">
        <f t="shared" si="3"/>
        <v>124140.5</v>
      </c>
      <c r="Y29" s="28">
        <f t="shared" si="4"/>
        <v>132159.5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4755</v>
      </c>
      <c r="C31" s="36">
        <f t="shared" si="5"/>
        <v>1049</v>
      </c>
      <c r="D31" s="36">
        <f t="shared" si="5"/>
        <v>11302</v>
      </c>
      <c r="E31" s="36">
        <f t="shared" si="5"/>
        <v>9793</v>
      </c>
      <c r="F31" s="36">
        <f t="shared" si="5"/>
        <v>13</v>
      </c>
      <c r="G31" s="36">
        <f t="shared" si="5"/>
        <v>2308</v>
      </c>
      <c r="H31" s="36">
        <f t="shared" si="5"/>
        <v>48</v>
      </c>
      <c r="I31" s="36">
        <f t="shared" si="5"/>
        <v>27</v>
      </c>
      <c r="J31" s="36">
        <f t="shared" si="5"/>
        <v>201</v>
      </c>
      <c r="K31" s="36">
        <f t="shared" si="5"/>
        <v>217</v>
      </c>
      <c r="L31" s="36">
        <f t="shared" si="5"/>
        <v>25</v>
      </c>
      <c r="M31" s="36">
        <f t="shared" si="5"/>
        <v>0</v>
      </c>
      <c r="N31" s="36">
        <f t="shared" si="5"/>
        <v>8</v>
      </c>
      <c r="O31" s="36">
        <f t="shared" si="5"/>
        <v>46</v>
      </c>
      <c r="P31" s="36">
        <f t="shared" si="5"/>
        <v>0</v>
      </c>
      <c r="Q31" s="36">
        <f t="shared" si="5"/>
        <v>405</v>
      </c>
      <c r="R31" s="36">
        <f t="shared" si="5"/>
        <v>279</v>
      </c>
      <c r="S31" s="36">
        <f t="shared" si="5"/>
        <v>30</v>
      </c>
      <c r="T31" s="36">
        <f t="shared" si="5"/>
        <v>0</v>
      </c>
      <c r="U31" s="15">
        <f t="shared" si="5"/>
        <v>13735</v>
      </c>
      <c r="V31" s="25">
        <f t="shared" si="1"/>
        <v>18490</v>
      </c>
      <c r="W31" s="26">
        <f>SUM(W4:W30)</f>
        <v>21607</v>
      </c>
      <c r="X31" s="29">
        <f>SUM(X4:X30)</f>
        <v>1851011</v>
      </c>
      <c r="Y31" s="27">
        <f t="shared" si="4"/>
        <v>2321756</v>
      </c>
    </row>
    <row r="32" s="30" customFormat="1" ht="21" customHeight="1" spans="1:25">
      <c r="A32" s="14" t="s">
        <v>53</v>
      </c>
      <c r="B32" s="15">
        <f t="shared" ref="B32:P32" si="6">B31*B3</f>
        <v>470745</v>
      </c>
      <c r="C32" s="15">
        <f t="shared" si="6"/>
        <v>138468</v>
      </c>
      <c r="D32" s="15">
        <f t="shared" si="6"/>
        <v>62161</v>
      </c>
      <c r="E32" s="15">
        <f t="shared" si="6"/>
        <v>969507</v>
      </c>
      <c r="F32" s="15">
        <f t="shared" si="6"/>
        <v>715</v>
      </c>
      <c r="G32" s="37">
        <f t="shared" si="6"/>
        <v>609312</v>
      </c>
      <c r="H32" s="15">
        <f t="shared" si="6"/>
        <v>14880</v>
      </c>
      <c r="I32" s="15">
        <f t="shared" si="6"/>
        <v>7722</v>
      </c>
      <c r="J32" s="15">
        <f t="shared" si="6"/>
        <v>11055</v>
      </c>
      <c r="K32" s="15">
        <f t="shared" si="6"/>
        <v>28644</v>
      </c>
      <c r="L32" s="15">
        <f t="shared" si="6"/>
        <v>825</v>
      </c>
      <c r="M32" s="15">
        <f t="shared" si="6"/>
        <v>0</v>
      </c>
      <c r="N32" s="15">
        <f t="shared" si="6"/>
        <v>1144</v>
      </c>
      <c r="O32" s="15">
        <f t="shared" si="6"/>
        <v>6578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1851011</v>
      </c>
      <c r="Y32" s="29">
        <f>SUM(B32:P32)</f>
        <v>2321756</v>
      </c>
    </row>
    <row r="33" ht="21" customHeight="1"/>
  </sheetData>
  <protectedRanges>
    <protectedRange sqref="R4:T4 Q5:T28 M4:M28" name="区域1_3_1_1_2_1"/>
    <protectedRange sqref="R4:T4 Q5:T28 M4:M28" name="区域1_3_1_1_1"/>
    <protectedRange sqref="H4:H16" name="区域1_3_1_2"/>
    <protectedRange sqref="R4:T4 Q5:T28 M4:M28" name="区域1_3_1_1_3_1"/>
    <protectedRange sqref="N4:P28" name="区域1_8_2_1_1"/>
    <protectedRange sqref="B4:C28" name="区域1_4"/>
    <protectedRange sqref="H4:H16" name="区域1_3_2"/>
    <protectedRange sqref="E29:G31" name="区域1_1"/>
    <protectedRange sqref="N4:P28" name="区域1_8_1_2"/>
    <protectedRange sqref="B4:C28" name="区域1"/>
    <protectedRange sqref="R4:T4 Q5:T28" name="区域1_3_1_1_1_2"/>
    <protectedRange sqref="F4:F28" name="区域1_2"/>
    <protectedRange sqref="E30:G31 F29" name="区域1_1_1_3"/>
    <protectedRange sqref="F4:F28" name="区域1_2_1_1"/>
    <protectedRange sqref="B4:B28" name="区域1_4_2"/>
    <protectedRange sqref="I13" name="区域1_11"/>
    <protectedRange sqref="D4:D28" name="区域1_13"/>
    <protectedRange sqref="E29" name="区域1_17"/>
    <protectedRange sqref="R4:T4 Q5:T28 M4:M28" name="区域1_3_1_1_2_1_1"/>
    <protectedRange sqref="R4:T4 Q5:T28 M4:M28" name="区域1_3_1_1_1_1"/>
    <protectedRange sqref="H4:H16" name="区域1_3_1_2_1"/>
    <protectedRange sqref="R4:T4 Q5:T28 M4:M28" name="区域1_3_1_1_3_1_2"/>
    <protectedRange sqref="N4:P28" name="区域1_8_2_1_1_1"/>
    <protectedRange sqref="B4:C28" name="区域1_4_1"/>
    <protectedRange sqref="H4:H16" name="区域1_3_2_3"/>
    <protectedRange sqref="E29:G31" name="区域1_1_2"/>
    <protectedRange sqref="N4:P28" name="区域1_8_1_2_1"/>
    <protectedRange sqref="B4:C28" name="区域1_5"/>
    <protectedRange sqref="R4:T4 Q5:T28" name="区域1_3_1_1_1_2_1"/>
    <protectedRange sqref="F4:F28" name="区域1_2_1"/>
    <protectedRange sqref="E30:G31 F29" name="区域1_1_1_3_1"/>
    <protectedRange sqref="F4:F28" name="区域1_2_1_1_1"/>
    <protectedRange sqref="B4:B28" name="区域1_4_2_1"/>
    <protectedRange sqref="I13" name="区域1_11_1"/>
    <protectedRange sqref="D4:D28" name="区域1_13_1"/>
    <protectedRange sqref="E29" name="区域1_17_1"/>
    <protectedRange sqref="E29:G31 E33:G33" name="区域1_1_1_4_1"/>
    <protectedRange sqref="B25:C26 B14:C14 B5:C9 B16:C16" name="区域1_4_1_1"/>
    <protectedRange sqref="P4 P20 N21:P28 N5:P12 O13:P13 N14:P14 P15 N16:P18 R20:R24 R5:R18" name="区域1_8_2_1"/>
    <protectedRange sqref="H14 H16 H5:H9" name="区域1_3_2_3_1"/>
    <protectedRange sqref="H14 H16 H5:H9" name="区域1_3_2_1_2_1"/>
    <protectedRange sqref="E29:G31 E33:G33" name="区域1_1_3"/>
    <protectedRange sqref="E29:G31 E33:G33" name="区域1_1_1_1_1_1"/>
    <protectedRange sqref="P4 P20 N21:P28 N5:P12 O13:P13 N14:P14 P15 N16:P18 R20:R24 R5:R18" name="区域1_8_1_2_1_1"/>
    <protectedRange sqref="K27:M28 L22:M23 M24 J25:M26 M21 L12:M12 J14:M14 J5:M9 L10:M10 M11 M18 J16:M16 L17:M17" name="区域1_6_1"/>
    <protectedRange sqref="B25:C26 B14:C14 B5:C9 B16:C16" name="区域1_5_2"/>
    <protectedRange sqref="I14 I16 I5:I9" name="区域1_5_1_1_1"/>
    <protectedRange sqref="R4:T4 Q20:Q24 S20:T24 Q25:T28 Q5:Q18 S5:T18" name="区域1_3_1_1_1_3"/>
    <protectedRange sqref="P4 P20 N21:P28 N5:P12 O13:P13 N14:P14 P15 N16:P18 R20:R24 R5:R18" name="区域1_8_1_4"/>
    <protectedRange sqref="F25:F26 F14 F5:F9 F16" name="区域1_2_1_3"/>
    <protectedRange sqref="P4:P18 P20:P28 R5:R18 R20:R24" name="区域1_8_1_3_2_1"/>
    <protectedRange sqref="E30:G31 F29 E33:G33" name="区域1_1_1_3_1_1"/>
    <protectedRange sqref="R4:T4 Q20:Q24 S20:T24 Q25:T28 Q5:Q18 S5:T18" name="区域1_3_1_1_3_1_2_1"/>
    <protectedRange sqref="F25:F26 F14 F5:F9 F16" name="区域1_2_1_3_1"/>
    <protectedRange sqref="N29:P31" name="区域1_7_1_1_1"/>
    <protectedRange sqref="B25:B26 B14 B5:B9 B16" name="区域1_4_2_1_1"/>
    <protectedRange sqref="E25:E26 E14 E5:E9 E16" name="区域1_9_1_1"/>
    <protectedRange sqref="H25:H26 H13:H14 H5:H9 H16" name="区域1_3_3_1"/>
    <protectedRange sqref="M21:O28 M5:O12 O13 M14:O14 M16:O18" name="区域1_6_2"/>
    <protectedRange sqref="D29" name="区域1_14"/>
    <protectedRange sqref="B29:C29" name="区域1_16"/>
    <protectedRange sqref="G29" name="区域1_18"/>
    <protectedRange sqref="E19:G19" name="区域1_1_1_2_2"/>
    <protectedRange sqref="E19:G19" name="区域1_1_1_1_3"/>
    <protectedRange sqref="E19:G19" name="区域1_1_1_2_3"/>
    <protectedRange sqref="E28:G28" name="区域1_1_5"/>
    <protectedRange sqref="E28:G28" name="区域1_1_1_5"/>
    <protectedRange sqref="E4:G4" name="区域1_1_6"/>
    <protectedRange sqref="E4:G4" name="区域1_1_1_6"/>
    <protectedRange sqref="N4:O4" name="区域1_7_3"/>
    <protectedRange sqref="E23:G23" name="区域1_1_1_1_6"/>
    <protectedRange sqref="E23:G23" name="区域1_1_1_2_6"/>
    <protectedRange sqref="E20:G20" name="区域1_1_1_1_7"/>
    <protectedRange sqref="E20:G20" name="区域1_1_1_2_7"/>
    <protectedRange sqref="E24:G24" name="区域1_1_9"/>
    <protectedRange sqref="E24:G24" name="区域1_1_1_9"/>
    <protectedRange sqref="E27:G27" name="区域1_1_10"/>
    <protectedRange sqref="E27:G27" name="区域1_1_1_10"/>
    <protectedRange sqref="E22:G22" name="区域1_1_11"/>
    <protectedRange sqref="E22:G22" name="区域1_1_1_11"/>
    <protectedRange sqref="E21:G21" name="区域1_1_12"/>
    <protectedRange sqref="E21:G21" name="区域1_1_1_12"/>
    <protectedRange sqref="E12:G12" name="区域1_1_13"/>
    <protectedRange sqref="E12:G12" name="区域1_1_1_13"/>
    <protectedRange sqref="E13:G13" name="区域1_1_14"/>
    <protectedRange sqref="E13:G13" name="区域1_1_1_14"/>
    <protectedRange sqref="N13" name="区域1_7_5"/>
    <protectedRange sqref="E15:G15" name="区域1_1_1_1_14"/>
    <protectedRange sqref="E15:G15" name="区域1_1_1_2_14"/>
    <protectedRange sqref="E10:G10" name="区域1_1_16"/>
    <protectedRange sqref="E10:G10" name="区域1_1_1_16"/>
    <protectedRange sqref="E11:G11" name="区域1_1_17"/>
    <protectedRange sqref="E11:G11" name="区域1_1_1_17"/>
    <protectedRange sqref="E18:G18" name="区域1_1_18"/>
    <protectedRange sqref="E18:G18" name="区域1_1_1_18"/>
    <protectedRange sqref="E17:G17" name="区域1_1_19"/>
    <protectedRange sqref="E17:G17" name="区域1_1_1_19"/>
    <protectedRange sqref="H4:H16" name="区域1_3"/>
    <protectedRange sqref="R4:T4 Q5:T28 M4:M28" name="区域1_3_1_1_2_1_2"/>
    <protectedRange sqref="E29:G31" name="区域1_1_1_2"/>
    <protectedRange sqref="R4:T4 Q5:T28 M4:M28" name="区域1_3_1_1_1_4"/>
    <protectedRange sqref="N4:P28" name="区域1_8_1"/>
    <protectedRange sqref="H4:H16" name="区域1_3_1_2_2"/>
    <protectedRange sqref="H4:H16" name="区域1_3_2_2"/>
    <protectedRange sqref="R4:T4 Q5:T28 M4:M28" name="区域1_3_1_1_3_1_1"/>
    <protectedRange sqref="H4:H16" name="区域1_3_2_1_1"/>
    <protectedRange sqref="N4:P28" name="区域1_8_2_1_1_2"/>
    <protectedRange sqref="E29:G31" name="区域1_1_1"/>
    <protectedRange sqref="B4:C28" name="区域1_4_3"/>
    <protectedRange sqref="N4:P28" name="区域1_8"/>
    <protectedRange sqref="H4:H16" name="区域1_3_2_1"/>
    <protectedRange sqref="H4:H16" name="区域1_3_2_1_2"/>
    <protectedRange sqref="E29:G31" name="区域1_1_4"/>
    <protectedRange sqref="E29:G31" name="区域1_1_1_1"/>
    <protectedRange sqref="N4:P28" name="区域1_8_1_2_2"/>
    <protectedRange sqref="J4:M28" name="区域1_6_1_1"/>
    <protectedRange sqref="B4:C28" name="区域1_6"/>
    <protectedRange sqref="I4:I16" name="区域1_5_1"/>
    <protectedRange sqref="R4:T4 Q5:T28" name="区域1_3_1_1_1_2_2"/>
    <protectedRange sqref="N4:P28" name="区域1_8_1_3"/>
    <protectedRange sqref="F4:F28" name="区域1_2_2"/>
    <protectedRange sqref="P4:P28" name="区域1_8_1_3_1"/>
    <protectedRange sqref="E30:G31 F29" name="区域1_1_1_3_2"/>
    <protectedRange sqref="R4:T4 Q5:T28" name="区域1_3_1_1_3_1_1_1"/>
    <protectedRange sqref="F4:F28" name="区域1_2_1_1_2"/>
    <protectedRange sqref="N29:P31" name="区域1_7_1"/>
    <protectedRange sqref="B4:B28" name="区域1_4_2_2"/>
    <protectedRange sqref="E4:E28" name="区域1_9"/>
    <protectedRange sqref="I13" name="区域1_11_2"/>
    <protectedRange sqref="J4:L28" name="区域1_12"/>
    <protectedRange sqref="D4:D28" name="区域1_13_2"/>
    <protectedRange sqref="J29" name="区域1_15"/>
    <protectedRange sqref="E29" name="区域1_17_2"/>
    <protectedRange sqref="E29:G31 E33:G33" name="区域1_1_2_1"/>
    <protectedRange sqref="E29:G31 E33:G33" name="区域1_1_1_4"/>
    <protectedRange sqref="P4 P20 N21:P28 N5:P12 O13:P13 N14:P14 P15 N16:P18 R20:R24 R5:R18" name="区域1_8_1_1"/>
    <protectedRange sqref="B25:C26 B14:C14 B5:C9 B16:C16" name="区域1_4_1_2"/>
    <protectedRange sqref="R4:T4 M21:M28 M5:M12 M14 M16:M18 Q20:Q24 S20:T24 Q25:T28 Q5:Q18 S5:T18" name="区域1_3_1_1"/>
    <protectedRange sqref="P4 P20 N21:P28 N5:P12 O13:P13 N14:P14 P15 N16:P18 R20:R24 R5:R18" name="区域1_8_2"/>
    <protectedRange sqref="H14 H16 H5:H9" name="区域1_3_1"/>
    <protectedRange sqref="H14 H16 H5:H9" name="区域1_3_2_3_2"/>
    <protectedRange sqref="R4:T4 M21:M28 M5:M12 M14 M16:M18 Q20:Q24 S20:T24 Q25:T28 Q5:Q18 S5:T18" name="区域1_3_1_1_3"/>
    <protectedRange sqref="H14 H16 H5:H9" name="区域1_3_2_1_2_2"/>
    <protectedRange sqref="P4 P20 N21:P28 N5:P12 O13:P13 N14:P14 P15 N16:P18 R20:R24 R5:R18" name="区域1_8_2_1_2"/>
    <protectedRange sqref="E29:G31 E33:G33" name="区域1_1_3_1"/>
    <protectedRange sqref="K27:M28 L22:M23 M24 J25:M26 M21 L12:M12 J14:M14 J5:M9 L10:M10 M11 M18 J16:M16 L17:M17" name="区域1_6_3"/>
    <protectedRange sqref="E29:G31 E33:G33" name="区域1_1_1_1_1"/>
    <protectedRange sqref="R4:T4 M21:M28 M5:M12 M14 M16:M18 Q20:Q24 S20:T24 Q25:T28 Q5:Q18 S5:T18" name="区域1_3_1_1_1_1_1"/>
    <protectedRange sqref="P4 P20 N21:P28 N5:P12 O13:P13 N14:P14 P15 N16:P18 R20:R24 R5:R18" name="区域1_8_1_2_1_2"/>
    <protectedRange sqref="E29:G31 E33:G33" name="区域1_1_1_2_1"/>
    <protectedRange sqref="K27:M28 L22:M23 M24 J25:M26 M21 L12:M12 J14:M14 J5:M9 L10:M10 M11 M18 J16:M16 L17:M17" name="区域1_6_1_2"/>
    <protectedRange sqref="D25:D26 D14 D5:D9 D16" name="区域1_4_1_1_1"/>
    <protectedRange sqref="B25:C26 B14:C14 B5:C9 B16:C16" name="区域1_5_3"/>
    <protectedRange sqref="E25:G26 E14:G14 E5:G9 E16:G16" name="区域1_2_1_2"/>
    <protectedRange sqref="I14 I16 I5:I9" name="区域1_5_1_1"/>
    <protectedRange sqref="N29:P31" name="区域1_7"/>
    <protectedRange sqref="R4:T4 Q20:Q24 S20:T24 Q25:T28 Q5:Q18 S5:T18" name="区域1_3_1_1_1_3_1"/>
    <protectedRange sqref="E30:G31 F29 E33:G33" name="区域1_1_3_1_1"/>
    <protectedRange sqref="P4 P20 N21:P28 N5:P12 O13:P13 N14:P14 P15 N16:P18 R20:R24 R5:R18" name="区域1_8_1_4_1"/>
    <protectedRange sqref="E30:G31 F29 E33:G33" name="区域1_1_1_1_1_1_1"/>
    <protectedRange sqref="F25:F26 F14 F5:F9 F16" name="区域1_2_1_4"/>
    <protectedRange sqref="R4:T4 Q20:Q24 S20:T24 Q25:T28 Q5:Q18 S5:T18" name="区域1_3_1_1_1_2_1_1"/>
    <protectedRange sqref="P4:P18 P20:P28 R5:R18 R20:R24" name="区域1_8_1_3_2"/>
    <protectedRange sqref="R4:T4 Q20:Q24 S20:T24 Q25:T28 Q5:Q18 S5:T18" name="区域1_3_1_1_2"/>
    <protectedRange sqref="E30:G31 F29 E33:G33" name="区域1_1_1_3_1_2"/>
    <protectedRange sqref="P4 P20 N21:P28 N5:P12 O13:P13 N14:P14 P15 N16:P18 R20:R24 R5:R18" name="区域1_8_2_2"/>
    <protectedRange sqref="R4:T4 Q20:Q24 S20:T24 Q25:T28 Q5:Q18 S5:T18" name="区域1_3_1_1_3_1_2_2"/>
    <protectedRange sqref="E30:G31 F29 E33:G33" name="区域1_1_1_2_1_1"/>
    <protectedRange sqref="F25:F26 F14 F5:F9 F16" name="区域1_2_1_3_2"/>
    <protectedRange sqref="I14 I16 I5:I9" name="区域1_5_2_1"/>
    <protectedRange sqref="N29:P31" name="区域1_7_1_1"/>
    <protectedRange sqref="P4:P18 P20:P28 R5:R18 R20:R24" name="区域1_8_2_1_1_1_1"/>
    <protectedRange sqref="B25:B26 B14 B5:B9 B16" name="区域1_4_2_1_2"/>
    <protectedRange sqref="C25:C26 C14 C5:C9 C16" name="区域1_3_3"/>
    <protectedRange sqref="E25:E26 E14 E5:E9 E16" name="区域1_9_1"/>
    <protectedRange sqref="G25:G26 G14 G5:G9 G16" name="区域1_10"/>
    <protectedRange sqref="H25:H26 H13:H14 H5:H9 H16" name="区域1_3_3_1_1"/>
    <protectedRange sqref="K27:L28 L22:L23 J25:L26 L12 J14:L14 J5:L9 L10 J16:L16 L17" name="区域1_12_1"/>
    <protectedRange sqref="M21:O28 M5:O12 O13 M14:O14 M16:O18" name="区域1_6_2_1"/>
    <protectedRange sqref="D25:D26 D14 D5:D9 D16" name="区域1_13_1_1"/>
    <protectedRange sqref="D29" name="区域1_14_1"/>
    <protectedRange sqref="J29" name="区域1_15_1"/>
    <protectedRange sqref="B29:C29" name="区域1_16_1"/>
    <protectedRange sqref="E29" name="区域1_17_1_1"/>
    <protectedRange sqref="G29" name="区域1_18_1"/>
    <protectedRange sqref="E19:G19" name="区域1_1_1_1_2"/>
    <protectedRange sqref="E19:G19" name="区域1_1_1_2_2_1"/>
    <protectedRange sqref="E19:G19" name="区域1_1_4_1"/>
    <protectedRange sqref="E19:G19" name="区域1_1_1_1_3_1"/>
    <protectedRange sqref="E19:G19" name="区域1_1_1_4_1_1"/>
    <protectedRange sqref="E19:G19" name="区域1_1_1_2_3_1"/>
    <protectedRange sqref="N19:P19 R19" name="区域1_7_2"/>
    <protectedRange sqref="E28:G28" name="区域1_1_5_1"/>
    <protectedRange sqref="E28:G28" name="区域1_1_1_1_4"/>
    <protectedRange sqref="E28:G28" name="区域1_1_1_5_1"/>
    <protectedRange sqref="E28:G28" name="区域1_1_1_2_4"/>
    <protectedRange sqref="E4:G4" name="区域1_1_6_1"/>
    <protectedRange sqref="E4:G4" name="区域1_1_1_1_5"/>
    <protectedRange sqref="E4:G4" name="区域1_1_1_6_1"/>
    <protectedRange sqref="E4:G4" name="区域1_1_1_2_5"/>
    <protectedRange sqref="N4:O4" name="区域1_7_3_1"/>
    <protectedRange sqref="E23:G23" name="区域1_1_7"/>
    <protectedRange sqref="E23:G23" name="区域1_1_1_1_6_1"/>
    <protectedRange sqref="E23:G23" name="区域1_1_1_7"/>
    <protectedRange sqref="E23:G23" name="区域1_1_1_2_6_1"/>
    <protectedRange sqref="E20:G20" name="区域1_1_8"/>
    <protectedRange sqref="E20:G20" name="区域1_1_1_1_7_1"/>
    <protectedRange sqref="E20:G20" name="区域1_1_1_8"/>
    <protectedRange sqref="E20:G20" name="区域1_1_1_2_7_1"/>
    <protectedRange sqref="N20:O20" name="区域1_7_4"/>
    <protectedRange sqref="E24:G24" name="区域1_1_9_1"/>
    <protectedRange sqref="E24:G24" name="区域1_1_1_1_8"/>
    <protectedRange sqref="E24:G24" name="区域1_1_1_9_1"/>
    <protectedRange sqref="E24:G24" name="区域1_1_1_2_8"/>
    <protectedRange sqref="E27:G27" name="区域1_1_10_1"/>
    <protectedRange sqref="E27:G27" name="区域1_1_1_1_9"/>
    <protectedRange sqref="E27:G27" name="区域1_1_1_10_1"/>
    <protectedRange sqref="E27:G27" name="区域1_1_1_2_9"/>
    <protectedRange sqref="E22:G22" name="区域1_1_11_1"/>
    <protectedRange sqref="E22:G22" name="区域1_1_1_1_10"/>
    <protectedRange sqref="E22:G22" name="区域1_1_1_11_1"/>
    <protectedRange sqref="E22:G22" name="区域1_1_1_2_10"/>
    <protectedRange sqref="E21:G21" name="区域1_1_12_1"/>
    <protectedRange sqref="E21:G21" name="区域1_1_1_1_11"/>
    <protectedRange sqref="E21:G21" name="区域1_1_1_12_1"/>
    <protectedRange sqref="E21:G21" name="区域1_1_1_2_11"/>
    <protectedRange sqref="E12:G12" name="区域1_1_13_1"/>
    <protectedRange sqref="E12:G12" name="区域1_1_1_1_12"/>
    <protectedRange sqref="E12:G12" name="区域1_1_1_13_1"/>
    <protectedRange sqref="E12:G12" name="区域1_1_1_2_12"/>
    <protectedRange sqref="E13:G13" name="区域1_1_14_1"/>
    <protectedRange sqref="E13:G13" name="区域1_1_1_1_13"/>
    <protectedRange sqref="E13:G13" name="区域1_1_1_14_1"/>
    <protectedRange sqref="E13:G13" name="区域1_1_1_2_13"/>
    <protectedRange sqref="N13" name="区域1_7_5_1"/>
    <protectedRange sqref="E15:G15" name="区域1_1_15"/>
    <protectedRange sqref="E15:G15" name="区域1_1_1_1_14_1"/>
    <protectedRange sqref="E15:G15" name="区域1_1_1_15"/>
    <protectedRange sqref="E15:G15" name="区域1_1_1_2_14_1"/>
    <protectedRange sqref="N15:O15" name="区域1_7_6"/>
    <protectedRange sqref="E10:G10" name="区域1_1_16_1"/>
    <protectedRange sqref="E10:G10" name="区域1_1_1_1_15"/>
    <protectedRange sqref="E10:G10" name="区域1_1_1_16_1"/>
    <protectedRange sqref="E10:G10" name="区域1_1_1_2_15"/>
    <protectedRange sqref="E11:G11" name="区域1_1_17_1"/>
    <protectedRange sqref="E11:G11" name="区域1_1_1_1_16"/>
    <protectedRange sqref="E11:G11" name="区域1_1_1_17_1"/>
    <protectedRange sqref="E11:G11" name="区域1_1_1_2_16"/>
    <protectedRange sqref="E18:G18" name="区域1_1_18_1"/>
    <protectedRange sqref="E18:G18" name="区域1_1_1_1_17"/>
    <protectedRange sqref="E18:G18" name="区域1_1_1_18_1"/>
    <protectedRange sqref="E18:G18" name="区域1_1_1_2_17"/>
    <protectedRange sqref="E17:G17" name="区域1_1_19_1"/>
    <protectedRange sqref="E17:G17" name="区域1_1_1_1_18"/>
    <protectedRange sqref="E17:G17" name="区域1_1_1_19_1"/>
    <protectedRange sqref="E17:G17" name="区域1_1_1_2_18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pageSetup paperSize="9" scale="68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3"/>
  <sheetViews>
    <sheetView topLeftCell="A7" workbookViewId="0">
      <selection activeCell="N14" sqref="N14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1833333333333" style="3" customWidth="1"/>
    <col min="26" max="16384" width="9.625" style="3"/>
  </cols>
  <sheetData>
    <row r="1" ht="30.75" customHeight="1" spans="1:25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121</v>
      </c>
      <c r="C4" s="11">
        <v>67</v>
      </c>
      <c r="D4" s="11">
        <v>609</v>
      </c>
      <c r="E4" s="11">
        <v>466</v>
      </c>
      <c r="F4" s="11">
        <v>1</v>
      </c>
      <c r="G4" s="11">
        <v>184</v>
      </c>
      <c r="H4" s="11">
        <v>15</v>
      </c>
      <c r="I4" s="11">
        <v>9</v>
      </c>
      <c r="J4" s="11">
        <v>2</v>
      </c>
      <c r="K4" s="11"/>
      <c r="L4" s="11"/>
      <c r="M4" s="11"/>
      <c r="N4" s="11">
        <v>8</v>
      </c>
      <c r="O4" s="11">
        <v>1</v>
      </c>
      <c r="P4" s="11"/>
      <c r="Q4" s="41">
        <v>270</v>
      </c>
      <c r="R4" s="42">
        <v>92</v>
      </c>
      <c r="S4" s="42"/>
      <c r="T4" s="42"/>
      <c r="U4" s="25">
        <f t="shared" ref="U4:U29" si="0">SUM(C4:P4)-D4</f>
        <v>753</v>
      </c>
      <c r="V4" s="25">
        <f t="shared" ref="V4:V31" si="1">SUM(B4:P4)-D4</f>
        <v>874</v>
      </c>
      <c r="W4" s="26">
        <f t="shared" ref="W4:W28" si="2">B4+C4+E4+F4+G4*2+H4*3+I4*3+J4+K4*6+L4*5+M4+N4*5+O4*5+P4+Q4</f>
        <v>1412</v>
      </c>
      <c r="X4" s="27">
        <f t="shared" ref="X4:X30" si="3">C4*$C$3+D4*$D$3+E4*$E$3+F4*$F$3+G4*$G$3+H4*$H$3+I4*$I$3+J4*$J$3+K4*$K$3+L4*$L$3+M4*$M$3+N4*$N$3+O4*$O$3+P4*$P$3</f>
        <v>115579.5</v>
      </c>
      <c r="Y4" s="27">
        <f t="shared" ref="Y4:Y31" si="4">B4*99+C4*$C$3+D4*$D$3+E4*$E$3+F4*$F$3+G4*$G$3+H4*$H$3+I4*$I$3+J4*$J$3+K4*$K$3+L4*$L$3+M4*$M$3+N4*$N$3+O4*$O$3+P4*$P$3</f>
        <v>127558.5</v>
      </c>
    </row>
    <row r="5" s="30" customFormat="1" ht="21" customHeight="1" spans="1:25">
      <c r="A5" s="13" t="s">
        <v>28</v>
      </c>
      <c r="B5" s="11">
        <v>335</v>
      </c>
      <c r="C5" s="11"/>
      <c r="D5" s="11">
        <v>611</v>
      </c>
      <c r="E5" s="11">
        <v>670</v>
      </c>
      <c r="F5" s="11"/>
      <c r="G5" s="11">
        <v>67</v>
      </c>
      <c r="H5" s="11"/>
      <c r="I5" s="11"/>
      <c r="J5" s="11">
        <v>23</v>
      </c>
      <c r="K5" s="11"/>
      <c r="L5" s="11"/>
      <c r="M5" s="11"/>
      <c r="N5" s="11"/>
      <c r="O5" s="11"/>
      <c r="P5" s="11"/>
      <c r="Q5" s="40"/>
      <c r="R5" s="11"/>
      <c r="S5" s="40"/>
      <c r="T5" s="40"/>
      <c r="U5" s="25">
        <f t="shared" si="0"/>
        <v>760</v>
      </c>
      <c r="V5" s="25">
        <f t="shared" si="1"/>
        <v>1095</v>
      </c>
      <c r="W5" s="26">
        <f t="shared" si="2"/>
        <v>1162</v>
      </c>
      <c r="X5" s="27">
        <f t="shared" si="3"/>
        <v>88643.5</v>
      </c>
      <c r="Y5" s="27">
        <f t="shared" si="4"/>
        <v>121808.5</v>
      </c>
    </row>
    <row r="6" s="30" customFormat="1" ht="21" customHeight="1" spans="1:25">
      <c r="A6" s="13" t="s">
        <v>29</v>
      </c>
      <c r="B6" s="11">
        <v>330</v>
      </c>
      <c r="C6" s="11">
        <v>135</v>
      </c>
      <c r="D6" s="11">
        <v>656</v>
      </c>
      <c r="E6" s="11">
        <v>410</v>
      </c>
      <c r="F6" s="11"/>
      <c r="G6" s="11">
        <v>191</v>
      </c>
      <c r="H6" s="11"/>
      <c r="I6" s="11"/>
      <c r="J6" s="11">
        <v>6</v>
      </c>
      <c r="K6" s="11"/>
      <c r="L6" s="11"/>
      <c r="M6" s="11"/>
      <c r="N6" s="11"/>
      <c r="O6" s="11"/>
      <c r="P6" s="11"/>
      <c r="Q6" s="40"/>
      <c r="R6" s="11"/>
      <c r="S6" s="40"/>
      <c r="T6" s="40"/>
      <c r="U6" s="25">
        <f t="shared" si="0"/>
        <v>742</v>
      </c>
      <c r="V6" s="25">
        <f t="shared" si="1"/>
        <v>1072</v>
      </c>
      <c r="W6" s="26">
        <f t="shared" si="2"/>
        <v>1263</v>
      </c>
      <c r="X6" s="27">
        <f t="shared" si="3"/>
        <v>112772</v>
      </c>
      <c r="Y6" s="27">
        <f t="shared" si="4"/>
        <v>145442</v>
      </c>
    </row>
    <row r="7" s="30" customFormat="1" ht="21" customHeight="1" spans="1:25">
      <c r="A7" s="13" t="s">
        <v>30</v>
      </c>
      <c r="B7" s="11">
        <v>615</v>
      </c>
      <c r="C7" s="11">
        <v>155</v>
      </c>
      <c r="D7" s="11">
        <v>778</v>
      </c>
      <c r="E7" s="11">
        <v>656</v>
      </c>
      <c r="F7" s="11"/>
      <c r="G7" s="11">
        <v>167</v>
      </c>
      <c r="H7" s="11"/>
      <c r="I7" s="11"/>
      <c r="J7" s="11">
        <v>10</v>
      </c>
      <c r="K7" s="11"/>
      <c r="L7" s="11"/>
      <c r="M7" s="11"/>
      <c r="N7" s="11"/>
      <c r="O7" s="11"/>
      <c r="P7" s="11"/>
      <c r="Q7" s="40"/>
      <c r="R7" s="11"/>
      <c r="S7" s="40"/>
      <c r="T7" s="40"/>
      <c r="U7" s="25">
        <f t="shared" si="0"/>
        <v>988</v>
      </c>
      <c r="V7" s="25">
        <f t="shared" si="1"/>
        <v>1603</v>
      </c>
      <c r="W7" s="26">
        <f t="shared" si="2"/>
        <v>1770</v>
      </c>
      <c r="X7" s="27">
        <f t="shared" si="3"/>
        <v>134321</v>
      </c>
      <c r="Y7" s="27">
        <f t="shared" si="4"/>
        <v>195206</v>
      </c>
    </row>
    <row r="8" s="30" customFormat="1" ht="21" customHeight="1" spans="1:25">
      <c r="A8" s="13" t="s">
        <v>31</v>
      </c>
      <c r="B8" s="11">
        <v>325</v>
      </c>
      <c r="C8" s="11">
        <v>131</v>
      </c>
      <c r="D8" s="11">
        <v>866</v>
      </c>
      <c r="E8" s="11">
        <v>557</v>
      </c>
      <c r="F8" s="11"/>
      <c r="G8" s="11">
        <v>264</v>
      </c>
      <c r="H8" s="11"/>
      <c r="I8" s="11"/>
      <c r="J8" s="11">
        <v>4</v>
      </c>
      <c r="K8" s="11"/>
      <c r="L8" s="11"/>
      <c r="M8" s="11"/>
      <c r="N8" s="11"/>
      <c r="O8" s="11"/>
      <c r="P8" s="11"/>
      <c r="Q8" s="40"/>
      <c r="R8" s="11"/>
      <c r="S8" s="40"/>
      <c r="T8" s="40"/>
      <c r="U8" s="25">
        <f t="shared" si="0"/>
        <v>956</v>
      </c>
      <c r="V8" s="25">
        <f t="shared" si="1"/>
        <v>1281</v>
      </c>
      <c r="W8" s="26">
        <f t="shared" si="2"/>
        <v>1545</v>
      </c>
      <c r="X8" s="27">
        <f t="shared" si="3"/>
        <v>147114</v>
      </c>
      <c r="Y8" s="27">
        <f t="shared" si="4"/>
        <v>179289</v>
      </c>
    </row>
    <row r="9" s="30" customFormat="1" ht="21" customHeight="1" spans="1:25">
      <c r="A9" s="13" t="s">
        <v>32</v>
      </c>
      <c r="B9" s="11">
        <v>124</v>
      </c>
      <c r="C9" s="11"/>
      <c r="D9" s="11">
        <v>369</v>
      </c>
      <c r="E9" s="11">
        <v>349</v>
      </c>
      <c r="F9" s="11"/>
      <c r="G9" s="11">
        <v>55</v>
      </c>
      <c r="H9" s="11"/>
      <c r="I9" s="11"/>
      <c r="J9" s="11">
        <v>11</v>
      </c>
      <c r="K9" s="11"/>
      <c r="L9" s="11"/>
      <c r="M9" s="11"/>
      <c r="N9" s="11"/>
      <c r="O9" s="11"/>
      <c r="P9" s="11"/>
      <c r="Q9" s="40"/>
      <c r="R9" s="11"/>
      <c r="S9" s="40"/>
      <c r="T9" s="40"/>
      <c r="U9" s="25">
        <f t="shared" si="0"/>
        <v>415</v>
      </c>
      <c r="V9" s="25">
        <f t="shared" si="1"/>
        <v>539</v>
      </c>
      <c r="W9" s="26">
        <f t="shared" si="2"/>
        <v>594</v>
      </c>
      <c r="X9" s="27">
        <f t="shared" si="3"/>
        <v>51705.5</v>
      </c>
      <c r="Y9" s="27">
        <f t="shared" si="4"/>
        <v>63981.5</v>
      </c>
    </row>
    <row r="10" s="30" customFormat="1" ht="21" customHeight="1" spans="1:25">
      <c r="A10" s="13" t="s">
        <v>33</v>
      </c>
      <c r="B10" s="11">
        <v>448</v>
      </c>
      <c r="C10" s="11">
        <v>2</v>
      </c>
      <c r="D10" s="11">
        <v>390</v>
      </c>
      <c r="E10" s="11">
        <v>410</v>
      </c>
      <c r="F10" s="11"/>
      <c r="G10" s="11">
        <v>66</v>
      </c>
      <c r="H10" s="11"/>
      <c r="I10" s="11"/>
      <c r="J10" s="11">
        <v>20</v>
      </c>
      <c r="K10" s="11">
        <v>18</v>
      </c>
      <c r="L10" s="11"/>
      <c r="M10" s="11"/>
      <c r="N10" s="11"/>
      <c r="O10" s="11"/>
      <c r="P10" s="11"/>
      <c r="Q10" s="40"/>
      <c r="R10" s="11"/>
      <c r="S10" s="40">
        <v>2</v>
      </c>
      <c r="T10" s="40"/>
      <c r="U10" s="25">
        <f t="shared" si="0"/>
        <v>516</v>
      </c>
      <c r="V10" s="25">
        <f t="shared" si="1"/>
        <v>964</v>
      </c>
      <c r="W10" s="26">
        <f t="shared" si="2"/>
        <v>1120</v>
      </c>
      <c r="X10" s="27">
        <f t="shared" si="3"/>
        <v>63899</v>
      </c>
      <c r="Y10" s="27">
        <f t="shared" si="4"/>
        <v>108251</v>
      </c>
    </row>
    <row r="11" s="30" customFormat="1" ht="21" customHeight="1" spans="1:25">
      <c r="A11" s="13" t="s">
        <v>34</v>
      </c>
      <c r="B11" s="11">
        <v>111</v>
      </c>
      <c r="C11" s="11">
        <v>61</v>
      </c>
      <c r="D11" s="11">
        <v>519</v>
      </c>
      <c r="E11" s="11">
        <v>450</v>
      </c>
      <c r="F11" s="11">
        <v>1</v>
      </c>
      <c r="G11" s="11">
        <v>97</v>
      </c>
      <c r="H11" s="11"/>
      <c r="I11" s="11"/>
      <c r="J11" s="11">
        <v>3</v>
      </c>
      <c r="K11" s="11">
        <v>15</v>
      </c>
      <c r="L11" s="11">
        <v>2</v>
      </c>
      <c r="M11" s="11"/>
      <c r="N11" s="11"/>
      <c r="O11" s="11"/>
      <c r="P11" s="11"/>
      <c r="Q11" s="40"/>
      <c r="R11" s="11"/>
      <c r="S11" s="40">
        <v>2</v>
      </c>
      <c r="T11" s="40"/>
      <c r="U11" s="25">
        <f t="shared" si="0"/>
        <v>629</v>
      </c>
      <c r="V11" s="25">
        <f t="shared" si="1"/>
        <v>740</v>
      </c>
      <c r="W11" s="26">
        <f t="shared" si="2"/>
        <v>920</v>
      </c>
      <c r="X11" s="27">
        <f t="shared" si="3"/>
        <v>83330.5</v>
      </c>
      <c r="Y11" s="27">
        <f t="shared" si="4"/>
        <v>94319.5</v>
      </c>
    </row>
    <row r="12" s="30" customFormat="1" ht="21" customHeight="1" spans="1:25">
      <c r="A12" s="13" t="s">
        <v>35</v>
      </c>
      <c r="B12" s="11">
        <v>231</v>
      </c>
      <c r="C12" s="11">
        <v>27</v>
      </c>
      <c r="D12" s="11">
        <v>398</v>
      </c>
      <c r="E12" s="11">
        <v>382</v>
      </c>
      <c r="F12" s="11"/>
      <c r="G12" s="11">
        <v>66</v>
      </c>
      <c r="H12" s="11">
        <v>7</v>
      </c>
      <c r="I12" s="11">
        <v>11</v>
      </c>
      <c r="J12" s="11">
        <v>3</v>
      </c>
      <c r="K12" s="11">
        <v>5</v>
      </c>
      <c r="L12" s="11"/>
      <c r="M12" s="11"/>
      <c r="N12" s="11"/>
      <c r="O12" s="11"/>
      <c r="P12" s="11"/>
      <c r="Q12" s="40"/>
      <c r="R12" s="11">
        <v>9</v>
      </c>
      <c r="S12" s="40">
        <v>3</v>
      </c>
      <c r="T12" s="40"/>
      <c r="U12" s="25">
        <f t="shared" si="0"/>
        <v>501</v>
      </c>
      <c r="V12" s="25">
        <f t="shared" si="1"/>
        <v>732</v>
      </c>
      <c r="W12" s="26">
        <f t="shared" si="2"/>
        <v>859</v>
      </c>
      <c r="X12" s="27">
        <f t="shared" si="3"/>
        <v>67136</v>
      </c>
      <c r="Y12" s="27">
        <f t="shared" si="4"/>
        <v>90005</v>
      </c>
    </row>
    <row r="13" s="30" customFormat="1" ht="21" customHeight="1" spans="1:25">
      <c r="A13" s="13" t="s">
        <v>36</v>
      </c>
      <c r="B13" s="11">
        <v>173</v>
      </c>
      <c r="C13" s="11">
        <v>126</v>
      </c>
      <c r="D13" s="11">
        <v>768</v>
      </c>
      <c r="E13" s="11">
        <v>480</v>
      </c>
      <c r="F13" s="11"/>
      <c r="G13" s="11">
        <v>246</v>
      </c>
      <c r="H13" s="11">
        <v>9</v>
      </c>
      <c r="I13" s="11">
        <v>8</v>
      </c>
      <c r="J13" s="11">
        <v>6</v>
      </c>
      <c r="K13" s="11"/>
      <c r="L13" s="11"/>
      <c r="M13" s="11"/>
      <c r="N13" s="11">
        <v>2</v>
      </c>
      <c r="O13" s="11"/>
      <c r="P13" s="11"/>
      <c r="Q13" s="40"/>
      <c r="R13" s="11">
        <v>9</v>
      </c>
      <c r="S13" s="40"/>
      <c r="T13" s="40"/>
      <c r="U13" s="25">
        <f t="shared" si="0"/>
        <v>877</v>
      </c>
      <c r="V13" s="25">
        <f t="shared" si="1"/>
        <v>1050</v>
      </c>
      <c r="W13" s="26">
        <f t="shared" si="2"/>
        <v>1338</v>
      </c>
      <c r="X13" s="27">
        <f t="shared" si="3"/>
        <v>139014</v>
      </c>
      <c r="Y13" s="27">
        <f t="shared" si="4"/>
        <v>156141</v>
      </c>
    </row>
    <row r="14" s="30" customFormat="1" ht="21" customHeight="1" spans="1:25">
      <c r="A14" s="13" t="s">
        <v>37</v>
      </c>
      <c r="B14" s="11">
        <v>247</v>
      </c>
      <c r="C14" s="11">
        <v>1</v>
      </c>
      <c r="D14" s="11">
        <v>453</v>
      </c>
      <c r="E14" s="11">
        <v>459</v>
      </c>
      <c r="F14" s="11"/>
      <c r="G14" s="11">
        <v>63</v>
      </c>
      <c r="H14" s="11"/>
      <c r="I14" s="11"/>
      <c r="J14" s="11">
        <v>9</v>
      </c>
      <c r="K14" s="11">
        <v>6</v>
      </c>
      <c r="L14" s="11"/>
      <c r="M14" s="11">
        <v>1</v>
      </c>
      <c r="N14" s="11"/>
      <c r="O14" s="11">
        <v>8</v>
      </c>
      <c r="P14" s="11"/>
      <c r="Q14" s="40">
        <v>135</v>
      </c>
      <c r="R14" s="11">
        <v>40</v>
      </c>
      <c r="S14" s="40">
        <v>2</v>
      </c>
      <c r="T14" s="40"/>
      <c r="U14" s="25">
        <f t="shared" si="0"/>
        <v>547</v>
      </c>
      <c r="V14" s="25">
        <f t="shared" si="1"/>
        <v>794</v>
      </c>
      <c r="W14" s="26">
        <f t="shared" si="2"/>
        <v>1054</v>
      </c>
      <c r="X14" s="27">
        <f t="shared" si="3"/>
        <v>67155</v>
      </c>
      <c r="Y14" s="27">
        <f t="shared" si="4"/>
        <v>91608</v>
      </c>
    </row>
    <row r="15" s="30" customFormat="1" ht="21" customHeight="1" spans="1:25">
      <c r="A15" s="13" t="s">
        <v>38</v>
      </c>
      <c r="B15" s="11">
        <v>258</v>
      </c>
      <c r="C15" s="11">
        <v>7</v>
      </c>
      <c r="D15" s="11">
        <v>470</v>
      </c>
      <c r="E15" s="11">
        <v>423</v>
      </c>
      <c r="F15" s="11"/>
      <c r="G15" s="11">
        <v>64</v>
      </c>
      <c r="H15" s="11">
        <v>1</v>
      </c>
      <c r="I15" s="11"/>
      <c r="J15" s="11">
        <v>10</v>
      </c>
      <c r="K15" s="11">
        <v>23</v>
      </c>
      <c r="L15" s="11">
        <v>4</v>
      </c>
      <c r="M15" s="11"/>
      <c r="N15" s="11"/>
      <c r="O15" s="11">
        <v>10</v>
      </c>
      <c r="P15" s="11"/>
      <c r="Q15" s="40">
        <v>135</v>
      </c>
      <c r="R15" s="11">
        <v>41</v>
      </c>
      <c r="S15" s="40">
        <v>2</v>
      </c>
      <c r="T15" s="40"/>
      <c r="U15" s="25">
        <f t="shared" si="0"/>
        <v>542</v>
      </c>
      <c r="V15" s="25">
        <f t="shared" si="1"/>
        <v>800</v>
      </c>
      <c r="W15" s="26">
        <f t="shared" si="2"/>
        <v>1172</v>
      </c>
      <c r="X15" s="27">
        <f t="shared" si="3"/>
        <v>67740</v>
      </c>
      <c r="Y15" s="27">
        <f t="shared" si="4"/>
        <v>93282</v>
      </c>
    </row>
    <row r="16" s="30" customFormat="1" ht="21" customHeight="1" spans="1:25">
      <c r="A16" s="13" t="s">
        <v>39</v>
      </c>
      <c r="B16" s="11">
        <v>495</v>
      </c>
      <c r="C16" s="11">
        <v>90</v>
      </c>
      <c r="D16" s="11">
        <v>648</v>
      </c>
      <c r="E16" s="11">
        <v>560</v>
      </c>
      <c r="F16" s="11"/>
      <c r="G16" s="11">
        <v>133</v>
      </c>
      <c r="H16" s="11"/>
      <c r="I16" s="11"/>
      <c r="J16" s="11">
        <v>13</v>
      </c>
      <c r="K16" s="11">
        <v>27</v>
      </c>
      <c r="L16" s="11">
        <v>3</v>
      </c>
      <c r="M16" s="11"/>
      <c r="N16" s="11"/>
      <c r="O16" s="11"/>
      <c r="P16" s="11"/>
      <c r="Q16" s="40"/>
      <c r="R16" s="11"/>
      <c r="S16" s="40">
        <v>2</v>
      </c>
      <c r="T16" s="40"/>
      <c r="U16" s="25">
        <f t="shared" si="0"/>
        <v>826</v>
      </c>
      <c r="V16" s="25">
        <f t="shared" si="1"/>
        <v>1321</v>
      </c>
      <c r="W16" s="26">
        <f t="shared" si="2"/>
        <v>1601</v>
      </c>
      <c r="X16" s="27">
        <f t="shared" si="3"/>
        <v>110374</v>
      </c>
      <c r="Y16" s="27">
        <f t="shared" si="4"/>
        <v>159379</v>
      </c>
    </row>
    <row r="17" s="30" customFormat="1" ht="21" customHeight="1" spans="1:25">
      <c r="A17" s="13" t="s">
        <v>40</v>
      </c>
      <c r="B17" s="11">
        <v>280</v>
      </c>
      <c r="C17" s="11">
        <v>5</v>
      </c>
      <c r="D17" s="11">
        <v>487</v>
      </c>
      <c r="E17" s="11">
        <v>468</v>
      </c>
      <c r="F17" s="11"/>
      <c r="G17" s="11">
        <v>163</v>
      </c>
      <c r="H17" s="11"/>
      <c r="I17" s="40"/>
      <c r="J17" s="11">
        <v>21</v>
      </c>
      <c r="K17" s="11">
        <v>8</v>
      </c>
      <c r="L17" s="11">
        <v>17</v>
      </c>
      <c r="M17" s="11"/>
      <c r="N17" s="11"/>
      <c r="O17" s="11"/>
      <c r="P17" s="11"/>
      <c r="Q17" s="40"/>
      <c r="R17" s="11"/>
      <c r="S17" s="40">
        <v>2</v>
      </c>
      <c r="T17" s="40"/>
      <c r="U17" s="25">
        <f t="shared" si="0"/>
        <v>682</v>
      </c>
      <c r="V17" s="25">
        <f t="shared" si="1"/>
        <v>962</v>
      </c>
      <c r="W17" s="26">
        <f t="shared" si="2"/>
        <v>1233</v>
      </c>
      <c r="X17" s="27">
        <f t="shared" si="3"/>
        <v>95474.5</v>
      </c>
      <c r="Y17" s="27">
        <f t="shared" si="4"/>
        <v>123194.5</v>
      </c>
    </row>
    <row r="18" s="30" customFormat="1" ht="21" customHeight="1" spans="1:25">
      <c r="A18" s="13" t="s">
        <v>41</v>
      </c>
      <c r="B18" s="11">
        <v>207</v>
      </c>
      <c r="C18" s="11">
        <v>21</v>
      </c>
      <c r="D18" s="11">
        <v>227</v>
      </c>
      <c r="E18" s="11">
        <v>201</v>
      </c>
      <c r="F18" s="11"/>
      <c r="G18" s="11">
        <v>43</v>
      </c>
      <c r="H18" s="11"/>
      <c r="I18" s="40"/>
      <c r="J18" s="11">
        <v>3</v>
      </c>
      <c r="K18" s="11">
        <v>8</v>
      </c>
      <c r="L18" s="11"/>
      <c r="M18" s="11"/>
      <c r="N18" s="11"/>
      <c r="O18" s="11"/>
      <c r="P18" s="11"/>
      <c r="Q18" s="40"/>
      <c r="R18" s="11"/>
      <c r="S18" s="40">
        <v>2</v>
      </c>
      <c r="T18" s="40"/>
      <c r="U18" s="25">
        <f t="shared" si="0"/>
        <v>276</v>
      </c>
      <c r="V18" s="25">
        <f t="shared" si="1"/>
        <v>483</v>
      </c>
      <c r="W18" s="26">
        <f t="shared" si="2"/>
        <v>566</v>
      </c>
      <c r="X18" s="27">
        <f t="shared" si="3"/>
        <v>36492.5</v>
      </c>
      <c r="Y18" s="27">
        <f t="shared" si="4"/>
        <v>56985.5</v>
      </c>
    </row>
    <row r="19" s="30" customFormat="1" ht="21" customHeight="1" spans="1:25">
      <c r="A19" s="13" t="s">
        <v>42</v>
      </c>
      <c r="B19" s="11">
        <v>333</v>
      </c>
      <c r="C19" s="11">
        <v>5</v>
      </c>
      <c r="D19" s="11">
        <v>387</v>
      </c>
      <c r="E19" s="11">
        <v>424</v>
      </c>
      <c r="F19" s="11">
        <v>1</v>
      </c>
      <c r="G19" s="11">
        <v>34</v>
      </c>
      <c r="H19" s="11"/>
      <c r="I19" s="40"/>
      <c r="J19" s="11">
        <v>7</v>
      </c>
      <c r="K19" s="11">
        <v>17</v>
      </c>
      <c r="L19" s="11"/>
      <c r="M19" s="11"/>
      <c r="N19" s="11"/>
      <c r="O19" s="11"/>
      <c r="P19" s="11"/>
      <c r="Q19" s="40"/>
      <c r="R19" s="11"/>
      <c r="S19" s="40">
        <v>3</v>
      </c>
      <c r="T19" s="40"/>
      <c r="U19" s="25">
        <f t="shared" si="0"/>
        <v>488</v>
      </c>
      <c r="V19" s="25">
        <f t="shared" si="1"/>
        <v>821</v>
      </c>
      <c r="W19" s="26">
        <f t="shared" si="2"/>
        <v>940</v>
      </c>
      <c r="X19" s="27">
        <f t="shared" si="3"/>
        <v>56424.5</v>
      </c>
      <c r="Y19" s="27">
        <f t="shared" si="4"/>
        <v>89391.5</v>
      </c>
    </row>
    <row r="20" s="30" customFormat="1" ht="21" customHeight="1" spans="1:25">
      <c r="A20" s="13" t="s">
        <v>43</v>
      </c>
      <c r="B20" s="11">
        <v>408</v>
      </c>
      <c r="C20" s="11">
        <v>3</v>
      </c>
      <c r="D20" s="11">
        <v>684</v>
      </c>
      <c r="E20" s="11">
        <v>690</v>
      </c>
      <c r="F20" s="11"/>
      <c r="G20" s="11">
        <v>83</v>
      </c>
      <c r="H20" s="11"/>
      <c r="I20" s="40"/>
      <c r="J20" s="11">
        <v>11</v>
      </c>
      <c r="K20" s="11">
        <v>14</v>
      </c>
      <c r="L20" s="11">
        <v>2</v>
      </c>
      <c r="M20" s="11">
        <v>2</v>
      </c>
      <c r="N20" s="11"/>
      <c r="O20" s="11"/>
      <c r="P20" s="11"/>
      <c r="Q20" s="40"/>
      <c r="R20" s="11"/>
      <c r="S20" s="40">
        <v>2</v>
      </c>
      <c r="T20" s="40"/>
      <c r="U20" s="25">
        <f t="shared" si="0"/>
        <v>805</v>
      </c>
      <c r="V20" s="25">
        <f t="shared" si="1"/>
        <v>1213</v>
      </c>
      <c r="W20" s="26">
        <f t="shared" si="2"/>
        <v>1374</v>
      </c>
      <c r="X20" s="27">
        <f t="shared" si="3"/>
        <v>96954</v>
      </c>
      <c r="Y20" s="27">
        <f t="shared" si="4"/>
        <v>137346</v>
      </c>
    </row>
    <row r="21" s="30" customFormat="1" ht="21" customHeight="1" spans="1:25">
      <c r="A21" s="13" t="s">
        <v>44</v>
      </c>
      <c r="B21" s="11">
        <v>359</v>
      </c>
      <c r="C21" s="11">
        <v>18</v>
      </c>
      <c r="D21" s="11">
        <v>532</v>
      </c>
      <c r="E21" s="11">
        <v>757</v>
      </c>
      <c r="F21" s="11"/>
      <c r="G21" s="11">
        <v>107</v>
      </c>
      <c r="H21" s="11"/>
      <c r="I21" s="40"/>
      <c r="J21" s="11">
        <v>10</v>
      </c>
      <c r="K21" s="11">
        <v>18</v>
      </c>
      <c r="L21" s="11"/>
      <c r="M21" s="11"/>
      <c r="N21" s="11"/>
      <c r="O21" s="11"/>
      <c r="P21" s="11"/>
      <c r="Q21" s="40"/>
      <c r="R21" s="11"/>
      <c r="S21" s="40">
        <v>3</v>
      </c>
      <c r="T21" s="40"/>
      <c r="U21" s="25">
        <f t="shared" si="0"/>
        <v>910</v>
      </c>
      <c r="V21" s="25">
        <f t="shared" si="1"/>
        <v>1269</v>
      </c>
      <c r="W21" s="26">
        <f t="shared" si="2"/>
        <v>1466</v>
      </c>
      <c r="X21" s="27">
        <f t="shared" si="3"/>
        <v>111419</v>
      </c>
      <c r="Y21" s="27">
        <f t="shared" si="4"/>
        <v>146960</v>
      </c>
    </row>
    <row r="22" s="30" customFormat="1" ht="21" customHeight="1" spans="1:25">
      <c r="A22" s="13" t="s">
        <v>45</v>
      </c>
      <c r="B22" s="11">
        <v>324</v>
      </c>
      <c r="C22" s="11">
        <v>174</v>
      </c>
      <c r="D22" s="11">
        <v>1079</v>
      </c>
      <c r="E22" s="11">
        <v>561</v>
      </c>
      <c r="F22" s="11"/>
      <c r="G22" s="11">
        <v>219</v>
      </c>
      <c r="H22" s="11"/>
      <c r="I22" s="40"/>
      <c r="J22" s="11">
        <v>4</v>
      </c>
      <c r="K22" s="11"/>
      <c r="L22" s="11"/>
      <c r="M22" s="11">
        <v>1</v>
      </c>
      <c r="N22" s="11"/>
      <c r="O22" s="11"/>
      <c r="P22" s="11"/>
      <c r="Q22" s="40"/>
      <c r="R22" s="11"/>
      <c r="S22" s="40"/>
      <c r="T22" s="40"/>
      <c r="U22" s="25">
        <f t="shared" si="0"/>
        <v>959</v>
      </c>
      <c r="V22" s="25">
        <f t="shared" si="1"/>
        <v>1283</v>
      </c>
      <c r="W22" s="26">
        <f t="shared" si="2"/>
        <v>1502</v>
      </c>
      <c r="X22" s="27">
        <f t="shared" si="3"/>
        <v>142505</v>
      </c>
      <c r="Y22" s="27">
        <f t="shared" si="4"/>
        <v>174581</v>
      </c>
    </row>
    <row r="23" s="30" customFormat="1" ht="21" customHeight="1" spans="1:25">
      <c r="A23" s="13" t="s">
        <v>46</v>
      </c>
      <c r="B23" s="11">
        <v>462</v>
      </c>
      <c r="C23" s="11">
        <v>9</v>
      </c>
      <c r="D23" s="11">
        <v>525</v>
      </c>
      <c r="E23" s="11">
        <v>555</v>
      </c>
      <c r="F23" s="11"/>
      <c r="G23" s="11">
        <v>53</v>
      </c>
      <c r="H23" s="11"/>
      <c r="I23" s="40"/>
      <c r="J23" s="11">
        <v>22</v>
      </c>
      <c r="K23" s="11">
        <v>19</v>
      </c>
      <c r="L23" s="11">
        <v>8</v>
      </c>
      <c r="M23" s="11"/>
      <c r="N23" s="11"/>
      <c r="O23" s="11"/>
      <c r="P23" s="11"/>
      <c r="Q23" s="40"/>
      <c r="R23" s="11"/>
      <c r="S23" s="40">
        <v>3</v>
      </c>
      <c r="T23" s="40"/>
      <c r="U23" s="25">
        <f t="shared" si="0"/>
        <v>666</v>
      </c>
      <c r="V23" s="25">
        <f t="shared" si="1"/>
        <v>1128</v>
      </c>
      <c r="W23" s="26">
        <f t="shared" si="2"/>
        <v>1308</v>
      </c>
      <c r="X23" s="27">
        <f t="shared" si="3"/>
        <v>76994.5</v>
      </c>
      <c r="Y23" s="27">
        <f t="shared" si="4"/>
        <v>122732.5</v>
      </c>
    </row>
    <row r="24" s="30" customFormat="1" ht="21" customHeight="1" spans="1:25">
      <c r="A24" s="13" t="s">
        <v>47</v>
      </c>
      <c r="B24" s="11">
        <v>381</v>
      </c>
      <c r="C24" s="11">
        <v>10</v>
      </c>
      <c r="D24" s="11">
        <v>664</v>
      </c>
      <c r="E24" s="11">
        <v>665</v>
      </c>
      <c r="F24" s="11"/>
      <c r="G24" s="11">
        <v>85</v>
      </c>
      <c r="H24" s="11"/>
      <c r="I24" s="40"/>
      <c r="J24" s="11">
        <v>27</v>
      </c>
      <c r="K24" s="11">
        <v>21</v>
      </c>
      <c r="L24" s="11">
        <v>4</v>
      </c>
      <c r="M24" s="11">
        <v>2</v>
      </c>
      <c r="N24" s="11"/>
      <c r="O24" s="11"/>
      <c r="P24" s="11"/>
      <c r="Q24" s="40"/>
      <c r="R24" s="11"/>
      <c r="S24" s="40">
        <v>3</v>
      </c>
      <c r="T24" s="40"/>
      <c r="U24" s="25">
        <f t="shared" si="0"/>
        <v>814</v>
      </c>
      <c r="V24" s="25">
        <f t="shared" si="1"/>
        <v>1195</v>
      </c>
      <c r="W24" s="26">
        <f t="shared" si="2"/>
        <v>1401</v>
      </c>
      <c r="X24" s="27">
        <f t="shared" si="3"/>
        <v>97691</v>
      </c>
      <c r="Y24" s="27">
        <f t="shared" si="4"/>
        <v>135410</v>
      </c>
    </row>
    <row r="25" s="30" customFormat="1" ht="21" customHeight="1" spans="1:25">
      <c r="A25" s="13" t="s">
        <v>49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 t="s">
        <v>56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50</v>
      </c>
      <c r="B28" s="11"/>
      <c r="C28" s="11"/>
      <c r="D28" s="11"/>
      <c r="E28" s="11"/>
      <c r="F28" s="11"/>
      <c r="G28" s="11"/>
      <c r="H28" s="11"/>
      <c r="I28" s="35"/>
      <c r="J28" s="11"/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>
        <v>298</v>
      </c>
      <c r="C29" s="11">
        <v>91</v>
      </c>
      <c r="D29" s="11">
        <v>755</v>
      </c>
      <c r="E29" s="11">
        <v>580</v>
      </c>
      <c r="F29" s="34">
        <v>9</v>
      </c>
      <c r="G29" s="11">
        <v>213</v>
      </c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893</v>
      </c>
      <c r="V29" s="25">
        <f t="shared" si="1"/>
        <v>1191</v>
      </c>
      <c r="W29" s="26">
        <v>0</v>
      </c>
      <c r="X29" s="28">
        <f t="shared" si="3"/>
        <v>130311.5</v>
      </c>
      <c r="Y29" s="28">
        <f t="shared" si="4"/>
        <v>159813.5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6865</v>
      </c>
      <c r="C31" s="36">
        <f t="shared" si="5"/>
        <v>1138</v>
      </c>
      <c r="D31" s="36">
        <f t="shared" si="5"/>
        <v>12875</v>
      </c>
      <c r="E31" s="36">
        <f t="shared" si="5"/>
        <v>11173</v>
      </c>
      <c r="F31" s="36">
        <f t="shared" si="5"/>
        <v>12</v>
      </c>
      <c r="G31" s="36">
        <f t="shared" si="5"/>
        <v>2663</v>
      </c>
      <c r="H31" s="36">
        <f t="shared" si="5"/>
        <v>32</v>
      </c>
      <c r="I31" s="36">
        <f t="shared" si="5"/>
        <v>28</v>
      </c>
      <c r="J31" s="36">
        <f t="shared" si="5"/>
        <v>225</v>
      </c>
      <c r="K31" s="36">
        <f t="shared" si="5"/>
        <v>199</v>
      </c>
      <c r="L31" s="36">
        <f t="shared" si="5"/>
        <v>40</v>
      </c>
      <c r="M31" s="36">
        <f t="shared" si="5"/>
        <v>6</v>
      </c>
      <c r="N31" s="36">
        <f t="shared" si="5"/>
        <v>10</v>
      </c>
      <c r="O31" s="36">
        <f t="shared" si="5"/>
        <v>19</v>
      </c>
      <c r="P31" s="36">
        <f t="shared" si="5"/>
        <v>0</v>
      </c>
      <c r="Q31" s="36">
        <f t="shared" si="5"/>
        <v>540</v>
      </c>
      <c r="R31" s="36">
        <f t="shared" si="5"/>
        <v>191</v>
      </c>
      <c r="S31" s="36">
        <f t="shared" si="5"/>
        <v>31</v>
      </c>
      <c r="T31" s="36">
        <f t="shared" si="5"/>
        <v>0</v>
      </c>
      <c r="U31" s="15">
        <f t="shared" si="5"/>
        <v>15545</v>
      </c>
      <c r="V31" s="25">
        <f t="shared" si="1"/>
        <v>22410</v>
      </c>
      <c r="W31" s="26">
        <f>SUM(W4:W30)</f>
        <v>25600</v>
      </c>
      <c r="X31" s="29">
        <f>SUM(X4:X30)</f>
        <v>2093050.5</v>
      </c>
      <c r="Y31" s="27">
        <f t="shared" si="4"/>
        <v>2772685.5</v>
      </c>
    </row>
    <row r="32" s="30" customFormat="1" ht="21" customHeight="1" spans="1:25">
      <c r="A32" s="41" t="s">
        <v>53</v>
      </c>
      <c r="B32" s="29">
        <f t="shared" ref="B32:P32" si="6">B31*B3</f>
        <v>679635</v>
      </c>
      <c r="C32" s="29">
        <f t="shared" si="6"/>
        <v>150216</v>
      </c>
      <c r="D32" s="29">
        <f t="shared" si="6"/>
        <v>70812.5</v>
      </c>
      <c r="E32" s="29">
        <f t="shared" si="6"/>
        <v>1106127</v>
      </c>
      <c r="F32" s="29">
        <f t="shared" si="6"/>
        <v>660</v>
      </c>
      <c r="G32" s="44">
        <f t="shared" si="6"/>
        <v>703032</v>
      </c>
      <c r="H32" s="29">
        <f t="shared" si="6"/>
        <v>9920</v>
      </c>
      <c r="I32" s="29">
        <f t="shared" si="6"/>
        <v>8008</v>
      </c>
      <c r="J32" s="29">
        <f t="shared" si="6"/>
        <v>12375</v>
      </c>
      <c r="K32" s="29">
        <f t="shared" si="6"/>
        <v>26268</v>
      </c>
      <c r="L32" s="29">
        <f t="shared" si="6"/>
        <v>1320</v>
      </c>
      <c r="M32" s="29">
        <f t="shared" si="6"/>
        <v>165</v>
      </c>
      <c r="N32" s="29">
        <f t="shared" si="6"/>
        <v>1430</v>
      </c>
      <c r="O32" s="29">
        <f t="shared" si="6"/>
        <v>2717</v>
      </c>
      <c r="P32" s="29">
        <f t="shared" si="6"/>
        <v>0</v>
      </c>
      <c r="Q32" s="29"/>
      <c r="R32" s="29"/>
      <c r="S32" s="29"/>
      <c r="T32" s="29"/>
      <c r="U32" s="29" t="s">
        <v>54</v>
      </c>
      <c r="V32" s="29" t="s">
        <v>54</v>
      </c>
      <c r="W32" s="26" t="s">
        <v>54</v>
      </c>
      <c r="X32" s="29">
        <f>SUM(C32:P32)</f>
        <v>2093050.5</v>
      </c>
      <c r="Y32" s="29">
        <f>SUM(B32:P32)</f>
        <v>2772685.5</v>
      </c>
    </row>
    <row r="33" ht="21" customHeight="1"/>
  </sheetData>
  <protectedRanges>
    <protectedRange sqref="H15:H16 H11 H4:H7 H9" name="区域1_3"/>
    <protectedRange sqref="R4:T4 Q5:T28 M15:M19 M21 M23:M28 M4:M12" name="区域1_3_1_1_2_1"/>
    <protectedRange sqref="E29:G31" name="区域1_1_1_2"/>
    <protectedRange sqref="R4:T4 Q5:T28 M15:M19 M21 M23:M28 M4:M12" name="区域1_3_1_1_1"/>
    <protectedRange sqref="P14 N15:P28 N4:P12 O13:P13" name="区域1_8_1"/>
    <protectedRange sqref="H15:H16 H11 H4:H7 H9" name="区域1_3_1_2"/>
    <protectedRange sqref="H15:H16 H11 H4:H7 H9" name="区域1_3_2_2"/>
    <protectedRange sqref="R4:T4 Q5:T28 M15:M19 M21 M23:M28 M4:M12" name="区域1_3_1_1_3_1"/>
    <protectedRange sqref="H15:H16 H11 H4:H7 H9" name="区域1_3_2_1_1"/>
    <protectedRange sqref="P14 N15:P28 N4:P12 O13:P13" name="区域1_8_2_1_1"/>
    <protectedRange sqref="E29:G31" name="区域1_1_1"/>
    <protectedRange sqref="B25:C28 B11:C11 B15:C17 B4:C7 B9:C9" name="区域1_4"/>
    <protectedRange sqref="P14 N15:P28 N4:P12 O13:P13" name="区域1_8"/>
    <protectedRange sqref="H15:H16 H11 H4:H7 H9" name="区域1_3_2"/>
    <protectedRange sqref="H15:H16 H11 H4:H7 H9" name="区域1_3_2_1"/>
    <protectedRange sqref="E29:G31" name="区域1_1"/>
    <protectedRange sqref="E29:G31" name="区域1_1_1_1"/>
    <protectedRange sqref="P14 N15:P28 N4:P12 O13:P13" name="区域1_8_1_2"/>
    <protectedRange sqref="M23 M24 J25:M28 L21:M21 L19:M19 L10:M10 J11:M11 L12:M12 J15:M17 L18:M18 J4:M7 K8:M8 J9:M9" name="区域1_6_1_1"/>
    <protectedRange sqref="B25:C28 B11:C11 B15:C17 B4:C7 B9:C9" name="区域1"/>
    <protectedRange sqref="I15:I16 I11 I4:I7 I9" name="区域1_5_1"/>
    <protectedRange sqref="R4:T4 Q5:T28" name="区域1_3_1_1_1_2"/>
    <protectedRange sqref="P14 N15:P28 N4:P12 O13:P13" name="区域1_8_1_3"/>
    <protectedRange sqref="F25:F28 F11 F15:F17 F4:F7 F9" name="区域1_2"/>
    <protectedRange sqref="P4:P28" name="区域1_8_1_3_1"/>
    <protectedRange sqref="E30:G31 F29" name="区域1_1_1_3"/>
    <protectedRange sqref="R4:T4 Q5:T28" name="区域1_3_1_1_3_1_1"/>
    <protectedRange sqref="F25:F28 F11 F15:F17 F4:F7 F9" name="区域1_2_1_1"/>
    <protectedRange sqref="N29:P31" name="区域1_7_1"/>
    <protectedRange sqref="B25:B28 B11 B15:B17 B4:B7 B9" name="区域1_4_2"/>
    <protectedRange sqref="E25:E28 E11 E15:E17 E4:E7 E9" name="区域1_9"/>
    <protectedRange sqref="J25:L28 L21 L19 L10 J11:L11 L12 J13:L13 J15:L17 L18 J4:L7 K8:L8 J9:L9" name="区域1_12"/>
    <protectedRange sqref="D25:D28 D11 D15:D17 D4:D7 D9" name="区域1_13"/>
    <protectedRange sqref="J29" name="区域1_15"/>
    <protectedRange sqref="E29" name="区域1_17"/>
    <protectedRange sqref="H15:H16 H11 H4:H7 H9" name="区域1_3_1"/>
    <protectedRange sqref="R4:T4 Q5:T28 M15:M19 M21 M23:M28 M4:M12" name="区域1_3_1_1_2_1_1"/>
    <protectedRange sqref="E29:G31" name="区域1_1_1_2_1"/>
    <protectedRange sqref="R4:T4 Q5:T28 M15:M19 M21 M23:M28 M4:M12" name="区域1_3_1_1_1_1"/>
    <protectedRange sqref="P14 N15:P28 N4:P12 O13:P13" name="区域1_8_1_1"/>
    <protectedRange sqref="H15:H16 H11 H4:H7 H9" name="区域1_3_1_2_1"/>
    <protectedRange sqref="H15:H16 H11 H4:H7 H9" name="区域1_3_2_2_1"/>
    <protectedRange sqref="R4:T4 Q5:T28 M15:M19 M21 M23:M28 M4:M12" name="区域1_3_1_1_3_1_2"/>
    <protectedRange sqref="H15:H16 H11 H4:H7 H9" name="区域1_3_2_1_1_1"/>
    <protectedRange sqref="P14 N15:P28 N4:P12 O13:P13" name="区域1_8_2_1_1_1"/>
    <protectedRange sqref="E29:G31" name="区域1_1_1_4"/>
    <protectedRange sqref="B25:C28 B11:C11 B15:C17 B4:C7 B9:C9" name="区域1_4_1"/>
    <protectedRange sqref="P14 N15:P28 N4:P12 O13:P13" name="区域1_8_2"/>
    <protectedRange sqref="H15:H16 H11 H4:H7 H9" name="区域1_3_2_3"/>
    <protectedRange sqref="H15:H16 H11 H4:H7 H9" name="区域1_3_2_1_2"/>
    <protectedRange sqref="E29:G31" name="区域1_1_2"/>
    <protectedRange sqref="E29:G31" name="区域1_1_1_1_1"/>
    <protectedRange sqref="P14 N15:P28 N4:P12 O13:P13" name="区域1_8_1_2_1"/>
    <protectedRange sqref="M23 M24 J25:M28 L21:M21 L19:M19 L10:M10 J11:M11 L12:M12 J15:M17 L18:M18 J4:M7 K8:M8 J9:M9" name="区域1_6_1_1_1"/>
    <protectedRange sqref="B25:C28 B11:C11 B15:C17 B4:C7 B9:C9" name="区域1_5"/>
    <protectedRange sqref="I15:I16 I11 I4:I7 I9" name="区域1_5_1_1"/>
    <protectedRange sqref="R4:T4 Q5:T28" name="区域1_3_1_1_1_2_1"/>
    <protectedRange sqref="P14 N15:P28 N4:P12 O13:P13" name="区域1_8_1_3_2"/>
    <protectedRange sqref="F25:F28 F11 F15:F17 F4:F7 F9" name="区域1_2_1"/>
    <protectedRange sqref="P4:P28" name="区域1_8_1_3_1_1"/>
    <protectedRange sqref="E30:G31 F29" name="区域1_1_1_3_1"/>
    <protectedRange sqref="R4:T4 Q5:T28" name="区域1_3_1_1_3_1_1_1"/>
    <protectedRange sqref="F25:F28 F11 F15:F17 F4:F7 F9" name="区域1_2_1_1_1"/>
    <protectedRange sqref="N29:P31" name="区域1_7_1_1"/>
    <protectedRange sqref="B25:B28 B11 B15:B17 B4:B7 B9" name="区域1_4_2_1"/>
    <protectedRange sqref="E25:E28 E11 E15:E17 E4:E7 E9" name="区域1_9_1"/>
    <protectedRange sqref="J25:L28 L21 L19 L10 J11:L11 L12 J13:L13 J15:L17 L18 J4:L7 K8:L8 J9:L9" name="区域1_12_1"/>
    <protectedRange sqref="D25:D28 D11 D15:D17 D4:D7 D9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21:P28 N5:P12 O13:P13 P15 N16:P18 R20:R24 R5:R18 P14" name="区域1_8_1_1_1"/>
    <protectedRange sqref="B25:C26 B16:C16 B5:C7 B9:C9" name="区域1_4_1_1"/>
    <protectedRange sqref="R4:T4 M5:M12 M16:M18 Q20:Q24 S20:T24 Q25:T28 Q5:Q18 S5:T18 M21 M23:M28" name="区域1_3_1_1"/>
    <protectedRange sqref="P4 P20 N21:P28 N5:P12 O13:P13 P15 N16:P18 R20:R24 R5:R18 P14" name="区域1_8_2_1"/>
    <protectedRange sqref="H16 H5:H7 H9" name="区域1_3_1_3"/>
    <protectedRange sqref="H16 H5:H7 H9" name="区域1_3_2_3_1"/>
    <protectedRange sqref="R4:T4 M5:M12 M16:M18 Q20:Q24 S20:T24 Q25:T28 Q5:Q18 S5:T18 M21 M23:M28" name="区域1_3_1_1_3"/>
    <protectedRange sqref="H16 H5:H7 H9" name="区域1_3_2_1_2_1"/>
    <protectedRange sqref="P4 P20 N21:P28 N5:P12 O13:P13 P15 N16:P18 R20:R24 R5:R18 P14" name="区域1_8_2_1_2"/>
    <protectedRange sqref="E29:G31 E33:G33" name="区域1_1_3"/>
    <protectedRange sqref="K27:M28 M24 J25:M26 M21 L12:M12 L10:M10 M11 M18 J16:M16 L17:M17 M23 J5:M7 K8:M8 J9:M9" name="区域1_6"/>
    <protectedRange sqref="E29:G31 E33:G33" name="区域1_1_1_1_1_1"/>
    <protectedRange sqref="R4:T4 M5:M12 M16:M18 Q20:Q24 S20:T24 Q25:T28 Q5:Q18 S5:T18 M21 M23:M28" name="区域1_3_1_1_1_1_1"/>
    <protectedRange sqref="P4 P20 N21:P28 N5:P12 O13:P13 P15 N16:P18 R20:R24 R5:R18 P14" name="区域1_8_1_2_1_1"/>
    <protectedRange sqref="E29:G31 E33:G33" name="区域1_1_1_2_1_1"/>
    <protectedRange sqref="K27:M28 M24 J25:M26 M21 L12:M12 L10:M10 M11 M18 J16:M16 L17:M17 M23 J5:M7 K8:M8 J9:M9" name="区域1_6_1"/>
    <protectedRange sqref="D25:D26 D16 D5:D7 D9" name="区域1_4_1_1_1"/>
    <protectedRange sqref="B25:C26 B16:C16 B5:C7 B9:C9" name="区域1_5_2"/>
    <protectedRange sqref="E25:G26 E16:G16 E5:G7 E9:G9" name="区域1_2_1_2"/>
    <protectedRange sqref="I16 I5:I7 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21:P28 N5:P12 O13:P13 P15 N16:P18 R20:R24 R5:R18 P14" name="区域1_8_1_4"/>
    <protectedRange sqref="E30:G31 F29 E33:G33" name="区域1_1_1_1_1_1_1"/>
    <protectedRange sqref="F25:F26 F16 F5:F7 F9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21:P28 N5:P12 O13:P13 P15 N16:P18 R20:R24 R5:R18 P14" name="区域1_8_2_2"/>
    <protectedRange sqref="R4:T4 Q20:Q24 S20:T24 Q25:T28 Q5:Q18 S5:T18" name="区域1_3_1_1_3_1_2_1"/>
    <protectedRange sqref="E30:G31 F29 E33:G33" name="区域1_1_1_2_1_1_1"/>
    <protectedRange sqref="F25:F26 F16 F5:F7 F9" name="区域1_2_1_3_1"/>
    <protectedRange sqref="I16 I5:I7 I9" name="区域1_5_2_1"/>
    <protectedRange sqref="N29:P31" name="区域1_7_1_1_1"/>
    <protectedRange sqref="P4:P18 P20:P28 R5:R18 R20:R24" name="区域1_8_2_1_1_1_1"/>
    <protectedRange sqref="B25:B26 B16 B5:B7 B9" name="区域1_4_2_1_1"/>
    <protectedRange sqref="C25:C26 C16 C5:C7 C9" name="区域1_3_3"/>
    <protectedRange sqref="E25:E26 E16 E5:E7 E9" name="区域1_9_1_1"/>
    <protectedRange sqref="G25:G26 G16 G5:G7 G9" name="区域1_10"/>
    <protectedRange sqref="H25:H26 H16 H5:H7 H9" name="区域1_3_3_1"/>
    <protectedRange sqref="K27:L28 J25:L26 L12 L10 J16:L16 L17 J5:L7 K8:L8 J9:L9" name="区域1_12_1_1"/>
    <protectedRange sqref="M5:O12 O13 M16:O18 M21:O21 N22:O22 M23:O28" name="区域1_6_2"/>
    <protectedRange sqref="D25:D26 D16 D5:D7 D9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2_2"/>
    <protectedRange sqref="E19:G19" name="区域1_1_1_1_3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6"/>
    <protectedRange sqref="E4:G4" name="区域1_1_1_1_5"/>
    <protectedRange sqref="E4:G4" name="区域1_1_1_6"/>
    <protectedRange sqref="E4:G4" name="区域1_1_1_2_5"/>
    <protectedRange sqref="N4:O4" name="区域1_7_3"/>
    <protectedRange sqref="E23:G23" name="区域1_1_1_1_6"/>
    <protectedRange sqref="E23:G23" name="区域1_1_1_2_6"/>
    <protectedRange sqref="E20:G20" name="区域1_1_1_1_7"/>
    <protectedRange sqref="E20:G20" name="区域1_1_1_2_7"/>
    <protectedRange sqref="N20:O20" name="区域1_7_4"/>
    <protectedRange sqref="E24:G24" name="区域1_1_1_1_8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_2_10"/>
    <protectedRange sqref="E21:G21" name="区域1_1_1_2_11"/>
    <protectedRange sqref="E12:G12" name="区域1_1_1_1_12"/>
    <protectedRange sqref="E12:G12" name="区域1_1_1_2_12"/>
    <protectedRange sqref="E13:G13" name="区域1_1_1_1_13"/>
    <protectedRange sqref="E13:G13" name="区域1_1_1_2_13"/>
    <protectedRange sqref="E15:G15" name="区域1_1_15"/>
    <protectedRange sqref="E15:G15" name="区域1_1_1_1_14"/>
    <protectedRange sqref="E15:G15" name="区域1_1_1_15"/>
    <protectedRange sqref="E15:G15" name="区域1_1_1_2_14"/>
    <protectedRange sqref="N15:O15" name="区域1_7_6"/>
    <protectedRange sqref="E10:G10" name="区域1_1_1_1_15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_1_17"/>
    <protectedRange sqref="E18:G18" name="区域1_1_1_2_17"/>
    <protectedRange sqref="E17:G17" name="区域1_1_19"/>
    <protectedRange sqref="E17:G17" name="区域1_1_1_1_18"/>
    <protectedRange sqref="E17:G17" name="区域1_1_1_19"/>
    <protectedRange sqref="E17:G17" name="区域1_1_1_2_18"/>
    <protectedRange sqref="E23:G23" name="区域1_1_7"/>
    <protectedRange sqref="E23:G23" name="区域1_1_1_1_19"/>
    <protectedRange sqref="E23:G23" name="区域1_1_1_7"/>
    <protectedRange sqref="E23:G23" name="区域1_1_1_2_19"/>
    <protectedRange sqref="E14:G14" name="区域1_1_20"/>
    <protectedRange sqref="E14:G14" name="区域1_1_1_1_20"/>
    <protectedRange sqref="E14:G14" name="区域1_1_1_20"/>
    <protectedRange sqref="E14:G14" name="区域1_1_1_2_20"/>
    <protectedRange sqref="N14:O14" name="区域1_7_7"/>
    <protectedRange sqref="E20:G20" name="区域1_1_8"/>
    <protectedRange sqref="E20:G20" name="区域1_1_1_1_21"/>
    <protectedRange sqref="E20:G20" name="区域1_1_1_8"/>
    <protectedRange sqref="E20:G20" name="区域1_1_1_2_21"/>
    <protectedRange sqref="E24:G24" name="区域1_1_9"/>
    <protectedRange sqref="E24:G24" name="区域1_1_1_1_22"/>
    <protectedRange sqref="E24:G24" name="区域1_1_1_9"/>
    <protectedRange sqref="E24:G24" name="区域1_1_1_2_22"/>
    <protectedRange sqref="E22:G22" name="区域1_1_1_1_23"/>
    <protectedRange sqref="E22:G22" name="区域1_1_1_2_23"/>
    <protectedRange sqref="E21:G21" name="区域1_1_1_1_24"/>
    <protectedRange sqref="E21:G21" name="区域1_1_1_2_24"/>
    <protectedRange sqref="E19:G19" name="区域1_1_4"/>
    <protectedRange sqref="E19:G19" name="区域1_1_1_1_2"/>
    <protectedRange sqref="E19:G19" name="区域1_1_1_21"/>
    <protectedRange sqref="E19:G19" name="区域1_1_1_2_25"/>
    <protectedRange sqref="E10:G10" name="区域1_1_16"/>
    <protectedRange sqref="E10:G10" name="区域1_1_1_1_25"/>
    <protectedRange sqref="E10:G10" name="区域1_1_1_16"/>
    <protectedRange sqref="E10:G10" name="区域1_1_1_2_26"/>
    <protectedRange sqref="E12:G12" name="区域1_1_13"/>
    <protectedRange sqref="E12:G12" name="区域1_1_1_1_26"/>
    <protectedRange sqref="E12:G12" name="区域1_1_1_13"/>
    <protectedRange sqref="E12:G12" name="区域1_1_1_2_27"/>
    <protectedRange sqref="E18:G18" name="区域1_1_18"/>
    <protectedRange sqref="E18:G18" name="区域1_1_1_1_27"/>
    <protectedRange sqref="E18:G18" name="区域1_1_1_18"/>
    <protectedRange sqref="E18:G18" name="区域1_1_1_2_28"/>
    <protectedRange sqref="E8:G8" name="区域1_1_21"/>
    <protectedRange sqref="E8:G8" name="区域1_1_1_1_28"/>
    <protectedRange sqref="E8:G8" name="区域1_1_1_22"/>
    <protectedRange sqref="E8:G8" name="区域1_1_1_2_29"/>
    <protectedRange sqref="E13:G13" name="区域1_1_14"/>
    <protectedRange sqref="E13:G13" name="区域1_1_1_1_29"/>
    <protectedRange sqref="E13:G13" name="区域1_1_1_14"/>
    <protectedRange sqref="E13:G13" name="区域1_1_1_2_30"/>
    <protectedRange sqref="N13" name="区域1_7_5"/>
    <protectedRange sqref="E21:G21" name="区域1_1_12"/>
    <protectedRange sqref="E21:G21" name="区域1_1_1_1_11"/>
    <protectedRange sqref="E21:G21" name="区域1_1_1_12"/>
    <protectedRange sqref="E21:G21" name="区域1_1_1_2_31"/>
    <protectedRange sqref="E22:G22" name="区域1_1_11"/>
    <protectedRange sqref="E22:G22" name="区域1_1_1_1_10"/>
    <protectedRange sqref="E22:G22" name="区域1_1_1_11"/>
    <protectedRange sqref="E22:G22" name="区域1_1_1_2_32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" right="0" top="0" bottom="0" header="0" footer="0.297916666666667"/>
  <pageSetup paperSize="9" scale="78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workbookViewId="0">
      <selection activeCell="I25" sqref="I25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83</v>
      </c>
      <c r="C4" s="11">
        <v>44</v>
      </c>
      <c r="D4" s="11">
        <v>664</v>
      </c>
      <c r="E4" s="11">
        <v>520</v>
      </c>
      <c r="F4" s="11">
        <v>0</v>
      </c>
      <c r="G4" s="11">
        <v>227</v>
      </c>
      <c r="H4" s="11">
        <v>10</v>
      </c>
      <c r="I4" s="11">
        <v>4</v>
      </c>
      <c r="J4" s="11">
        <v>2</v>
      </c>
      <c r="K4" s="11">
        <v>0</v>
      </c>
      <c r="L4" s="11">
        <v>0</v>
      </c>
      <c r="M4" s="11">
        <v>0</v>
      </c>
      <c r="N4" s="11">
        <v>4</v>
      </c>
      <c r="O4" s="11">
        <v>75</v>
      </c>
      <c r="P4" s="11"/>
      <c r="Q4" s="41">
        <v>270</v>
      </c>
      <c r="R4" s="42">
        <v>95</v>
      </c>
      <c r="S4" s="42"/>
      <c r="T4" s="42"/>
      <c r="U4" s="25">
        <f t="shared" ref="U4:U29" si="0">SUM(C4:P4)-D4</f>
        <v>886</v>
      </c>
      <c r="V4" s="25">
        <f t="shared" ref="V4:V31" si="1">SUM(B4:P4)-D4</f>
        <v>969</v>
      </c>
      <c r="W4" s="26">
        <f t="shared" ref="W4:W28" si="2">B4+C4+E4+F4+G4*2+H4*3+I4*3+J4+K4*6+L4*5+M4+N4*5+O4*5+P4+Q4</f>
        <v>1810</v>
      </c>
      <c r="X4" s="27">
        <f t="shared" ref="X4:X30" si="3">C4*$C$3+D4*$D$3+E4*$E$3+F4*$F$3+G4*$G$3+H4*$H$3+I4*$I$3+J4*$J$3+K4*$K$3+L4*$L$3+M4*$M$3+N4*$N$3+O4*$O$3+P4*$P$3</f>
        <v>136519</v>
      </c>
      <c r="Y4" s="27">
        <f t="shared" ref="Y4:Y31" si="4">B4*99+C4*$C$3+D4*$D$3+E4*$E$3+F4*$F$3+G4*$G$3+H4*$H$3+I4*$I$3+J4*$J$3+K4*$K$3+L4*$L$3+M4*$M$3+N4*$N$3+O4*$O$3+P4*$P$3</f>
        <v>144736</v>
      </c>
    </row>
    <row r="5" s="30" customFormat="1" ht="21" customHeight="1" spans="1:25">
      <c r="A5" s="13" t="s">
        <v>28</v>
      </c>
      <c r="B5" s="11">
        <v>384</v>
      </c>
      <c r="C5" s="11"/>
      <c r="D5" s="11">
        <v>737</v>
      </c>
      <c r="E5" s="11">
        <v>649</v>
      </c>
      <c r="F5" s="11"/>
      <c r="G5" s="11">
        <v>98</v>
      </c>
      <c r="H5" s="11"/>
      <c r="I5" s="11"/>
      <c r="J5" s="11">
        <v>13</v>
      </c>
      <c r="K5" s="11"/>
      <c r="L5" s="11"/>
      <c r="M5" s="11"/>
      <c r="N5" s="11"/>
      <c r="O5" s="11"/>
      <c r="P5" s="11"/>
      <c r="Q5" s="40"/>
      <c r="R5" s="11">
        <v>8</v>
      </c>
      <c r="S5" s="40"/>
      <c r="T5" s="40"/>
      <c r="U5" s="25">
        <f t="shared" si="0"/>
        <v>760</v>
      </c>
      <c r="V5" s="25">
        <f t="shared" si="1"/>
        <v>1144</v>
      </c>
      <c r="W5" s="26">
        <f t="shared" si="2"/>
        <v>1242</v>
      </c>
      <c r="X5" s="27">
        <f t="shared" si="3"/>
        <v>94891.5</v>
      </c>
      <c r="Y5" s="27">
        <f t="shared" si="4"/>
        <v>132907.5</v>
      </c>
    </row>
    <row r="6" s="30" customFormat="1" ht="21" customHeight="1" spans="1:25">
      <c r="A6" s="13" t="s">
        <v>29</v>
      </c>
      <c r="B6" s="11">
        <v>189</v>
      </c>
      <c r="C6" s="11">
        <v>123</v>
      </c>
      <c r="D6" s="11">
        <v>791</v>
      </c>
      <c r="E6" s="11">
        <v>506</v>
      </c>
      <c r="F6" s="11"/>
      <c r="G6" s="11">
        <v>172</v>
      </c>
      <c r="H6" s="11"/>
      <c r="I6" s="11"/>
      <c r="J6" s="11">
        <v>4</v>
      </c>
      <c r="K6" s="11"/>
      <c r="L6" s="11"/>
      <c r="M6" s="11"/>
      <c r="N6" s="11"/>
      <c r="O6" s="11"/>
      <c r="P6" s="11"/>
      <c r="Q6" s="40"/>
      <c r="R6" s="11">
        <v>6</v>
      </c>
      <c r="S6" s="40"/>
      <c r="T6" s="40"/>
      <c r="U6" s="25">
        <f t="shared" si="0"/>
        <v>805</v>
      </c>
      <c r="V6" s="25">
        <f t="shared" si="1"/>
        <v>994</v>
      </c>
      <c r="W6" s="26">
        <f t="shared" si="2"/>
        <v>1166</v>
      </c>
      <c r="X6" s="27">
        <f t="shared" si="3"/>
        <v>116308.5</v>
      </c>
      <c r="Y6" s="27">
        <f t="shared" si="4"/>
        <v>135019.5</v>
      </c>
    </row>
    <row r="7" s="30" customFormat="1" ht="21" customHeight="1" spans="1:25">
      <c r="A7" s="13" t="s">
        <v>30</v>
      </c>
      <c r="B7" s="11">
        <v>425</v>
      </c>
      <c r="C7" s="11">
        <v>123</v>
      </c>
      <c r="D7" s="11">
        <v>914</v>
      </c>
      <c r="E7" s="11">
        <v>605</v>
      </c>
      <c r="F7" s="11"/>
      <c r="G7" s="11">
        <v>199</v>
      </c>
      <c r="H7" s="11"/>
      <c r="I7" s="11"/>
      <c r="J7" s="11">
        <v>4</v>
      </c>
      <c r="K7" s="11"/>
      <c r="L7" s="11">
        <v>1</v>
      </c>
      <c r="M7" s="11"/>
      <c r="N7" s="11"/>
      <c r="O7" s="11"/>
      <c r="P7" s="11"/>
      <c r="Q7" s="40"/>
      <c r="R7" s="11">
        <v>6</v>
      </c>
      <c r="S7" s="40"/>
      <c r="T7" s="40"/>
      <c r="U7" s="25">
        <f t="shared" si="0"/>
        <v>932</v>
      </c>
      <c r="V7" s="25">
        <f t="shared" si="1"/>
        <v>1357</v>
      </c>
      <c r="W7" s="26">
        <f t="shared" si="2"/>
        <v>1560</v>
      </c>
      <c r="X7" s="27">
        <f t="shared" si="3"/>
        <v>133947</v>
      </c>
      <c r="Y7" s="27">
        <f t="shared" si="4"/>
        <v>176022</v>
      </c>
    </row>
    <row r="8" s="30" customFormat="1" ht="21" customHeight="1" spans="1:25">
      <c r="A8" s="13" t="s">
        <v>31</v>
      </c>
      <c r="B8" s="11">
        <v>432</v>
      </c>
      <c r="C8" s="11">
        <v>141</v>
      </c>
      <c r="D8" s="11">
        <v>914</v>
      </c>
      <c r="E8" s="11">
        <v>529</v>
      </c>
      <c r="F8" s="11">
        <v>0</v>
      </c>
      <c r="G8" s="11">
        <v>264</v>
      </c>
      <c r="H8" s="11">
        <v>0</v>
      </c>
      <c r="I8" s="11">
        <v>0</v>
      </c>
      <c r="J8" s="11">
        <v>1</v>
      </c>
      <c r="K8" s="11"/>
      <c r="L8" s="11"/>
      <c r="M8" s="11"/>
      <c r="N8" s="11"/>
      <c r="O8" s="11"/>
      <c r="P8" s="11"/>
      <c r="Q8" s="40"/>
      <c r="R8" s="11">
        <v>8</v>
      </c>
      <c r="S8" s="40"/>
      <c r="T8" s="40"/>
      <c r="U8" s="25">
        <f t="shared" si="0"/>
        <v>935</v>
      </c>
      <c r="V8" s="25">
        <f t="shared" si="1"/>
        <v>1367</v>
      </c>
      <c r="W8" s="26">
        <f t="shared" si="2"/>
        <v>1631</v>
      </c>
      <c r="X8" s="27">
        <f t="shared" si="3"/>
        <v>145761</v>
      </c>
      <c r="Y8" s="27">
        <f t="shared" si="4"/>
        <v>188529</v>
      </c>
    </row>
    <row r="9" s="30" customFormat="1" ht="21" customHeight="1" spans="1:25">
      <c r="A9" s="13" t="s">
        <v>32</v>
      </c>
      <c r="B9" s="11">
        <v>98</v>
      </c>
      <c r="C9" s="11"/>
      <c r="D9" s="11">
        <v>442</v>
      </c>
      <c r="E9" s="11">
        <v>388</v>
      </c>
      <c r="F9" s="11"/>
      <c r="G9" s="11">
        <v>59</v>
      </c>
      <c r="H9" s="11"/>
      <c r="I9" s="11"/>
      <c r="J9" s="11">
        <v>10</v>
      </c>
      <c r="K9" s="11"/>
      <c r="L9" s="11"/>
      <c r="M9" s="11"/>
      <c r="N9" s="11"/>
      <c r="O9" s="11"/>
      <c r="P9" s="11"/>
      <c r="Q9" s="40"/>
      <c r="R9" s="11">
        <v>8</v>
      </c>
      <c r="S9" s="40"/>
      <c r="T9" s="40"/>
      <c r="U9" s="25">
        <f t="shared" si="0"/>
        <v>457</v>
      </c>
      <c r="V9" s="25">
        <f t="shared" si="1"/>
        <v>555</v>
      </c>
      <c r="W9" s="26">
        <f t="shared" si="2"/>
        <v>614</v>
      </c>
      <c r="X9" s="27">
        <f t="shared" si="3"/>
        <v>56969</v>
      </c>
      <c r="Y9" s="27">
        <f t="shared" si="4"/>
        <v>66671</v>
      </c>
    </row>
    <row r="10" s="30" customFormat="1" ht="21" customHeight="1" spans="1:25">
      <c r="A10" s="13" t="s">
        <v>33</v>
      </c>
      <c r="B10" s="11">
        <v>161</v>
      </c>
      <c r="C10" s="11">
        <v>1</v>
      </c>
      <c r="D10" s="11">
        <v>613</v>
      </c>
      <c r="E10" s="11">
        <v>575</v>
      </c>
      <c r="F10" s="11">
        <v>0</v>
      </c>
      <c r="G10" s="11">
        <v>79</v>
      </c>
      <c r="H10" s="11">
        <v>0</v>
      </c>
      <c r="I10" s="11">
        <v>0</v>
      </c>
      <c r="J10" s="11">
        <v>21</v>
      </c>
      <c r="K10" s="11">
        <v>0</v>
      </c>
      <c r="L10" s="11">
        <v>16</v>
      </c>
      <c r="M10" s="11"/>
      <c r="N10" s="11"/>
      <c r="O10" s="11"/>
      <c r="P10" s="11"/>
      <c r="Q10" s="40"/>
      <c r="R10" s="11">
        <v>6</v>
      </c>
      <c r="S10" s="40"/>
      <c r="T10" s="40"/>
      <c r="U10" s="25">
        <f t="shared" si="0"/>
        <v>692</v>
      </c>
      <c r="V10" s="25">
        <f t="shared" si="1"/>
        <v>853</v>
      </c>
      <c r="W10" s="26">
        <f t="shared" si="2"/>
        <v>996</v>
      </c>
      <c r="X10" s="27">
        <f t="shared" si="3"/>
        <v>82967.5</v>
      </c>
      <c r="Y10" s="27">
        <f t="shared" si="4"/>
        <v>98906.5</v>
      </c>
    </row>
    <row r="11" s="30" customFormat="1" ht="21" customHeight="1" spans="1:25">
      <c r="A11" s="13" t="s">
        <v>34</v>
      </c>
      <c r="B11" s="11">
        <v>282</v>
      </c>
      <c r="C11" s="11">
        <v>72</v>
      </c>
      <c r="D11" s="11">
        <v>569</v>
      </c>
      <c r="E11" s="11">
        <v>409</v>
      </c>
      <c r="F11" s="11">
        <v>0</v>
      </c>
      <c r="G11" s="11">
        <v>109</v>
      </c>
      <c r="H11" s="11">
        <v>0</v>
      </c>
      <c r="I11" s="11">
        <v>0</v>
      </c>
      <c r="J11" s="11">
        <v>2</v>
      </c>
      <c r="K11" s="11"/>
      <c r="L11" s="11">
        <v>12</v>
      </c>
      <c r="M11" s="11"/>
      <c r="N11" s="11"/>
      <c r="O11" s="11"/>
      <c r="P11" s="11"/>
      <c r="Q11" s="40"/>
      <c r="R11" s="11"/>
      <c r="S11" s="40"/>
      <c r="T11" s="40"/>
      <c r="U11" s="25">
        <f t="shared" si="0"/>
        <v>604</v>
      </c>
      <c r="V11" s="25">
        <f t="shared" si="1"/>
        <v>886</v>
      </c>
      <c r="W11" s="26">
        <f t="shared" si="2"/>
        <v>1043</v>
      </c>
      <c r="X11" s="27">
        <f t="shared" si="3"/>
        <v>82406.5</v>
      </c>
      <c r="Y11" s="27">
        <f t="shared" si="4"/>
        <v>110324.5</v>
      </c>
    </row>
    <row r="12" s="30" customFormat="1" ht="21" customHeight="1" spans="1:25">
      <c r="A12" s="13" t="s">
        <v>35</v>
      </c>
      <c r="B12" s="11">
        <v>267</v>
      </c>
      <c r="C12" s="11">
        <v>26</v>
      </c>
      <c r="D12" s="11">
        <v>346</v>
      </c>
      <c r="E12" s="11">
        <v>231</v>
      </c>
      <c r="F12" s="11">
        <v>2</v>
      </c>
      <c r="G12" s="11">
        <v>62</v>
      </c>
      <c r="H12" s="11">
        <v>8</v>
      </c>
      <c r="I12" s="11">
        <v>7</v>
      </c>
      <c r="J12" s="11">
        <v>0</v>
      </c>
      <c r="K12" s="11"/>
      <c r="L12" s="11">
        <v>22</v>
      </c>
      <c r="M12" s="11"/>
      <c r="N12" s="11"/>
      <c r="O12" s="11"/>
      <c r="P12" s="11"/>
      <c r="Q12" s="40"/>
      <c r="R12" s="11">
        <v>16</v>
      </c>
      <c r="S12" s="40"/>
      <c r="T12" s="40"/>
      <c r="U12" s="25">
        <f t="shared" si="0"/>
        <v>358</v>
      </c>
      <c r="V12" s="25">
        <f t="shared" si="1"/>
        <v>625</v>
      </c>
      <c r="W12" s="26">
        <f t="shared" si="2"/>
        <v>805</v>
      </c>
      <c r="X12" s="27">
        <f t="shared" si="3"/>
        <v>49890</v>
      </c>
      <c r="Y12" s="27">
        <f t="shared" si="4"/>
        <v>76323</v>
      </c>
    </row>
    <row r="13" s="30" customFormat="1" ht="21" customHeight="1" spans="1:25">
      <c r="A13" s="13" t="s">
        <v>36</v>
      </c>
      <c r="B13" s="11">
        <v>167</v>
      </c>
      <c r="C13" s="11">
        <v>114</v>
      </c>
      <c r="D13" s="11">
        <v>792</v>
      </c>
      <c r="E13" s="11">
        <v>485</v>
      </c>
      <c r="F13" s="11">
        <v>1</v>
      </c>
      <c r="G13" s="11">
        <v>207</v>
      </c>
      <c r="H13" s="11">
        <v>5</v>
      </c>
      <c r="I13" s="11">
        <v>11</v>
      </c>
      <c r="J13" s="11">
        <v>2</v>
      </c>
      <c r="K13" s="43"/>
      <c r="L13" s="11">
        <v>0</v>
      </c>
      <c r="M13" s="11">
        <v>0</v>
      </c>
      <c r="N13" s="11">
        <v>1</v>
      </c>
      <c r="O13" s="11">
        <v>2</v>
      </c>
      <c r="P13" s="11"/>
      <c r="Q13" s="40"/>
      <c r="R13" s="11">
        <v>16</v>
      </c>
      <c r="S13" s="40"/>
      <c r="T13" s="40"/>
      <c r="U13" s="25">
        <f t="shared" si="0"/>
        <v>828</v>
      </c>
      <c r="V13" s="25">
        <f t="shared" si="1"/>
        <v>995</v>
      </c>
      <c r="W13" s="26">
        <f t="shared" si="2"/>
        <v>1246</v>
      </c>
      <c r="X13" s="27">
        <f t="shared" si="3"/>
        <v>127357</v>
      </c>
      <c r="Y13" s="27">
        <f t="shared" si="4"/>
        <v>143890</v>
      </c>
    </row>
    <row r="14" s="30" customFormat="1" ht="21" customHeight="1" spans="1:25">
      <c r="A14" s="13" t="s">
        <v>37</v>
      </c>
      <c r="B14" s="11">
        <v>455</v>
      </c>
      <c r="C14" s="11">
        <v>3</v>
      </c>
      <c r="D14" s="11">
        <v>446</v>
      </c>
      <c r="E14" s="11">
        <v>404</v>
      </c>
      <c r="F14" s="11">
        <v>0</v>
      </c>
      <c r="G14" s="11">
        <v>59</v>
      </c>
      <c r="H14" s="11">
        <v>1</v>
      </c>
      <c r="I14" s="11">
        <v>0</v>
      </c>
      <c r="J14" s="11">
        <v>12</v>
      </c>
      <c r="K14" s="11"/>
      <c r="L14" s="11">
        <v>22</v>
      </c>
      <c r="M14" s="11">
        <v>1</v>
      </c>
      <c r="N14" s="11">
        <v>0</v>
      </c>
      <c r="O14" s="11">
        <v>27</v>
      </c>
      <c r="P14" s="11"/>
      <c r="Q14" s="40">
        <v>135</v>
      </c>
      <c r="R14" s="11">
        <v>43</v>
      </c>
      <c r="S14" s="40"/>
      <c r="T14" s="40"/>
      <c r="U14" s="25">
        <f t="shared" si="0"/>
        <v>529</v>
      </c>
      <c r="V14" s="25">
        <f t="shared" si="1"/>
        <v>984</v>
      </c>
      <c r="W14" s="26">
        <f t="shared" si="2"/>
        <v>1376</v>
      </c>
      <c r="X14" s="27">
        <f t="shared" si="3"/>
        <v>64005.5</v>
      </c>
      <c r="Y14" s="27">
        <f t="shared" si="4"/>
        <v>109050.5</v>
      </c>
    </row>
    <row r="15" s="30" customFormat="1" ht="21" customHeight="1" spans="1:25">
      <c r="A15" s="13" t="s">
        <v>38</v>
      </c>
      <c r="B15" s="11">
        <v>236</v>
      </c>
      <c r="C15" s="11">
        <v>5</v>
      </c>
      <c r="D15" s="11">
        <v>707</v>
      </c>
      <c r="E15" s="11">
        <v>619</v>
      </c>
      <c r="F15" s="11">
        <v>1</v>
      </c>
      <c r="G15" s="11">
        <v>96</v>
      </c>
      <c r="H15" s="11">
        <v>0</v>
      </c>
      <c r="I15" s="11">
        <v>0</v>
      </c>
      <c r="J15" s="11">
        <v>15</v>
      </c>
      <c r="K15" s="11"/>
      <c r="L15" s="11">
        <v>14</v>
      </c>
      <c r="M15" s="11">
        <v>0</v>
      </c>
      <c r="N15" s="11">
        <v>0</v>
      </c>
      <c r="O15" s="11">
        <v>7</v>
      </c>
      <c r="P15" s="11"/>
      <c r="Q15" s="40">
        <v>135</v>
      </c>
      <c r="R15" s="11">
        <v>42</v>
      </c>
      <c r="S15" s="40"/>
      <c r="T15" s="40"/>
      <c r="U15" s="25">
        <f t="shared" si="0"/>
        <v>757</v>
      </c>
      <c r="V15" s="25">
        <f t="shared" si="1"/>
        <v>993</v>
      </c>
      <c r="W15" s="26">
        <f t="shared" si="2"/>
        <v>1308</v>
      </c>
      <c r="X15" s="27">
        <f t="shared" si="3"/>
        <v>93516.5</v>
      </c>
      <c r="Y15" s="27">
        <f t="shared" si="4"/>
        <v>116880.5</v>
      </c>
    </row>
    <row r="16" s="30" customFormat="1" ht="21" customHeight="1" spans="1:25">
      <c r="A16" s="13" t="s">
        <v>39</v>
      </c>
      <c r="B16" s="11">
        <v>298</v>
      </c>
      <c r="C16" s="11">
        <v>59</v>
      </c>
      <c r="D16" s="11">
        <v>624</v>
      </c>
      <c r="E16" s="11">
        <v>432</v>
      </c>
      <c r="F16" s="11">
        <v>1</v>
      </c>
      <c r="G16" s="11">
        <v>140</v>
      </c>
      <c r="H16" s="11"/>
      <c r="I16" s="11"/>
      <c r="J16" s="11">
        <v>5</v>
      </c>
      <c r="K16" s="11"/>
      <c r="L16" s="11">
        <v>10</v>
      </c>
      <c r="M16" s="11"/>
      <c r="N16" s="11"/>
      <c r="O16" s="11"/>
      <c r="P16" s="11"/>
      <c r="Q16" s="40"/>
      <c r="R16" s="11">
        <v>6</v>
      </c>
      <c r="S16" s="40"/>
      <c r="T16" s="40"/>
      <c r="U16" s="25">
        <f t="shared" si="0"/>
        <v>647</v>
      </c>
      <c r="V16" s="25">
        <f t="shared" si="1"/>
        <v>945</v>
      </c>
      <c r="W16" s="26">
        <f t="shared" si="2"/>
        <v>1125</v>
      </c>
      <c r="X16" s="27">
        <f t="shared" si="3"/>
        <v>91608</v>
      </c>
      <c r="Y16" s="27">
        <f t="shared" si="4"/>
        <v>121110</v>
      </c>
    </row>
    <row r="17" s="30" customFormat="1" ht="21" customHeight="1" spans="1:25">
      <c r="A17" s="13" t="s">
        <v>40</v>
      </c>
      <c r="B17" s="11">
        <v>319</v>
      </c>
      <c r="C17" s="11">
        <v>3</v>
      </c>
      <c r="D17" s="11">
        <v>529</v>
      </c>
      <c r="E17" s="11">
        <v>478</v>
      </c>
      <c r="F17" s="11">
        <v>0</v>
      </c>
      <c r="G17" s="11">
        <v>52</v>
      </c>
      <c r="H17" s="11">
        <v>0</v>
      </c>
      <c r="I17" s="40">
        <v>0</v>
      </c>
      <c r="J17" s="11">
        <v>14</v>
      </c>
      <c r="K17" s="11"/>
      <c r="L17" s="11">
        <v>19</v>
      </c>
      <c r="M17" s="11"/>
      <c r="N17" s="11"/>
      <c r="O17" s="11"/>
      <c r="P17" s="11"/>
      <c r="Q17" s="40"/>
      <c r="R17" s="11">
        <v>6</v>
      </c>
      <c r="S17" s="40"/>
      <c r="T17" s="40"/>
      <c r="U17" s="25">
        <f t="shared" si="0"/>
        <v>566</v>
      </c>
      <c r="V17" s="25">
        <f t="shared" si="1"/>
        <v>885</v>
      </c>
      <c r="W17" s="26">
        <f t="shared" si="2"/>
        <v>1013</v>
      </c>
      <c r="X17" s="27">
        <f t="shared" si="3"/>
        <v>65752.5</v>
      </c>
      <c r="Y17" s="27">
        <f t="shared" si="4"/>
        <v>97333.5</v>
      </c>
    </row>
    <row r="18" s="30" customFormat="1" ht="21" customHeight="1" spans="1:25">
      <c r="A18" s="13" t="s">
        <v>41</v>
      </c>
      <c r="B18" s="11">
        <v>319</v>
      </c>
      <c r="C18" s="11">
        <v>40</v>
      </c>
      <c r="D18" s="11">
        <v>518</v>
      </c>
      <c r="E18" s="11">
        <v>383</v>
      </c>
      <c r="F18" s="11">
        <v>0</v>
      </c>
      <c r="G18" s="11">
        <v>96</v>
      </c>
      <c r="H18" s="11">
        <v>1</v>
      </c>
      <c r="I18" s="40">
        <v>0</v>
      </c>
      <c r="J18" s="11">
        <v>2</v>
      </c>
      <c r="K18" s="11"/>
      <c r="L18" s="11">
        <v>28</v>
      </c>
      <c r="M18" s="11"/>
      <c r="N18" s="11"/>
      <c r="O18" s="11"/>
      <c r="P18" s="11"/>
      <c r="Q18" s="40"/>
      <c r="R18" s="11">
        <v>7</v>
      </c>
      <c r="S18" s="40"/>
      <c r="T18" s="40"/>
      <c r="U18" s="25">
        <f t="shared" si="0"/>
        <v>550</v>
      </c>
      <c r="V18" s="25">
        <f t="shared" si="1"/>
        <v>869</v>
      </c>
      <c r="W18" s="26">
        <f t="shared" si="2"/>
        <v>1079</v>
      </c>
      <c r="X18" s="27">
        <f t="shared" si="3"/>
        <v>72734</v>
      </c>
      <c r="Y18" s="27">
        <f t="shared" si="4"/>
        <v>104315</v>
      </c>
    </row>
    <row r="19" s="30" customFormat="1" ht="21" customHeight="1" spans="1:25">
      <c r="A19" s="13" t="s">
        <v>42</v>
      </c>
      <c r="B19" s="11">
        <v>468</v>
      </c>
      <c r="C19" s="11">
        <v>5</v>
      </c>
      <c r="D19" s="11">
        <v>795</v>
      </c>
      <c r="E19" s="11">
        <v>693</v>
      </c>
      <c r="F19" s="11">
        <v>0</v>
      </c>
      <c r="G19" s="11">
        <v>72</v>
      </c>
      <c r="H19" s="11">
        <v>0</v>
      </c>
      <c r="I19" s="40">
        <v>0</v>
      </c>
      <c r="J19" s="11">
        <v>17</v>
      </c>
      <c r="K19" s="11"/>
      <c r="L19" s="11">
        <v>33</v>
      </c>
      <c r="M19" s="11">
        <v>1</v>
      </c>
      <c r="N19" s="11"/>
      <c r="O19" s="11"/>
      <c r="P19" s="11"/>
      <c r="Q19" s="40"/>
      <c r="R19" s="11">
        <v>6</v>
      </c>
      <c r="S19" s="40"/>
      <c r="T19" s="40"/>
      <c r="U19" s="25">
        <f t="shared" si="0"/>
        <v>821</v>
      </c>
      <c r="V19" s="25">
        <f t="shared" si="1"/>
        <v>1289</v>
      </c>
      <c r="W19" s="26">
        <f t="shared" si="2"/>
        <v>1493</v>
      </c>
      <c r="X19" s="27">
        <f t="shared" si="3"/>
        <v>94699</v>
      </c>
      <c r="Y19" s="27">
        <f t="shared" si="4"/>
        <v>141031</v>
      </c>
    </row>
    <row r="20" s="30" customFormat="1" ht="21" customHeight="1" spans="1:25">
      <c r="A20" s="13" t="s">
        <v>43</v>
      </c>
      <c r="B20" s="11">
        <v>244</v>
      </c>
      <c r="C20" s="11">
        <v>4</v>
      </c>
      <c r="D20" s="11">
        <v>601</v>
      </c>
      <c r="E20" s="11">
        <v>554</v>
      </c>
      <c r="F20" s="11">
        <v>0</v>
      </c>
      <c r="G20" s="11">
        <v>59</v>
      </c>
      <c r="H20" s="11">
        <v>0</v>
      </c>
      <c r="I20" s="40">
        <v>0</v>
      </c>
      <c r="J20" s="11">
        <v>25</v>
      </c>
      <c r="K20" s="11">
        <v>0</v>
      </c>
      <c r="L20" s="11">
        <v>20</v>
      </c>
      <c r="M20" s="11"/>
      <c r="N20" s="11"/>
      <c r="O20" s="11"/>
      <c r="P20" s="11"/>
      <c r="Q20" s="40"/>
      <c r="R20" s="11">
        <v>6</v>
      </c>
      <c r="S20" s="40"/>
      <c r="T20" s="40"/>
      <c r="U20" s="25">
        <f t="shared" si="0"/>
        <v>662</v>
      </c>
      <c r="V20" s="25">
        <f t="shared" si="1"/>
        <v>906</v>
      </c>
      <c r="W20" s="26">
        <f t="shared" si="2"/>
        <v>1045</v>
      </c>
      <c r="X20" s="27">
        <f t="shared" si="3"/>
        <v>76290.5</v>
      </c>
      <c r="Y20" s="27">
        <f t="shared" si="4"/>
        <v>100446.5</v>
      </c>
    </row>
    <row r="21" s="30" customFormat="1" ht="21" customHeight="1" spans="1:25">
      <c r="A21" s="13" t="s">
        <v>44</v>
      </c>
      <c r="B21" s="11">
        <v>201</v>
      </c>
      <c r="C21" s="11">
        <v>15</v>
      </c>
      <c r="D21" s="11">
        <v>909</v>
      </c>
      <c r="E21" s="11">
        <v>978</v>
      </c>
      <c r="F21" s="11">
        <v>1</v>
      </c>
      <c r="G21" s="11">
        <v>156</v>
      </c>
      <c r="H21" s="11">
        <v>0</v>
      </c>
      <c r="I21" s="40">
        <v>0</v>
      </c>
      <c r="J21" s="11">
        <v>19</v>
      </c>
      <c r="K21" s="11"/>
      <c r="L21" s="11">
        <v>23</v>
      </c>
      <c r="M21" s="11"/>
      <c r="N21" s="11"/>
      <c r="O21" s="11"/>
      <c r="P21" s="11"/>
      <c r="Q21" s="40"/>
      <c r="R21" s="11">
        <v>6</v>
      </c>
      <c r="S21" s="40"/>
      <c r="T21" s="40"/>
      <c r="U21" s="25">
        <f t="shared" si="0"/>
        <v>1192</v>
      </c>
      <c r="V21" s="25">
        <f t="shared" si="1"/>
        <v>1393</v>
      </c>
      <c r="W21" s="26">
        <f t="shared" si="2"/>
        <v>1641</v>
      </c>
      <c r="X21" s="27">
        <f t="shared" si="3"/>
        <v>146844.5</v>
      </c>
      <c r="Y21" s="27">
        <f t="shared" si="4"/>
        <v>166743.5</v>
      </c>
    </row>
    <row r="22" s="30" customFormat="1" ht="21" customHeight="1" spans="1:25">
      <c r="A22" s="13" t="s">
        <v>45</v>
      </c>
      <c r="B22" s="11">
        <v>248</v>
      </c>
      <c r="C22" s="11">
        <v>195</v>
      </c>
      <c r="D22" s="11">
        <v>1332</v>
      </c>
      <c r="E22" s="11">
        <v>619</v>
      </c>
      <c r="F22" s="11">
        <v>0</v>
      </c>
      <c r="G22" s="11">
        <v>285</v>
      </c>
      <c r="H22" s="11">
        <v>0</v>
      </c>
      <c r="I22" s="40">
        <v>0</v>
      </c>
      <c r="J22" s="11">
        <v>10</v>
      </c>
      <c r="K22" s="11">
        <v>0</v>
      </c>
      <c r="L22" s="11">
        <v>0</v>
      </c>
      <c r="M22" s="11">
        <v>1</v>
      </c>
      <c r="N22" s="11"/>
      <c r="O22" s="11"/>
      <c r="P22" s="11"/>
      <c r="Q22" s="40"/>
      <c r="R22" s="11">
        <v>6</v>
      </c>
      <c r="S22" s="40"/>
      <c r="T22" s="40"/>
      <c r="U22" s="25">
        <f t="shared" si="0"/>
        <v>1110</v>
      </c>
      <c r="V22" s="25">
        <f t="shared" si="1"/>
        <v>1358</v>
      </c>
      <c r="W22" s="26">
        <f t="shared" si="2"/>
        <v>1643</v>
      </c>
      <c r="X22" s="27">
        <f t="shared" si="3"/>
        <v>170164.5</v>
      </c>
      <c r="Y22" s="27">
        <f t="shared" si="4"/>
        <v>194716.5</v>
      </c>
    </row>
    <row r="23" s="30" customFormat="1" ht="21" customHeight="1" spans="1:25">
      <c r="A23" s="13" t="s">
        <v>46</v>
      </c>
      <c r="B23" s="11">
        <v>147</v>
      </c>
      <c r="C23" s="11">
        <v>7</v>
      </c>
      <c r="D23" s="11">
        <v>531</v>
      </c>
      <c r="E23" s="11">
        <v>505</v>
      </c>
      <c r="F23" s="11">
        <v>1</v>
      </c>
      <c r="G23" s="11">
        <v>47</v>
      </c>
      <c r="H23" s="11">
        <v>0</v>
      </c>
      <c r="I23" s="40">
        <v>0</v>
      </c>
      <c r="J23" s="11">
        <v>9</v>
      </c>
      <c r="K23" s="11"/>
      <c r="L23" s="11">
        <v>15</v>
      </c>
      <c r="M23" s="11"/>
      <c r="N23" s="11"/>
      <c r="O23" s="11"/>
      <c r="P23" s="11"/>
      <c r="Q23" s="40"/>
      <c r="R23" s="11">
        <v>2</v>
      </c>
      <c r="S23" s="40"/>
      <c r="T23" s="40"/>
      <c r="U23" s="25">
        <f t="shared" si="0"/>
        <v>584</v>
      </c>
      <c r="V23" s="25">
        <f t="shared" si="1"/>
        <v>731</v>
      </c>
      <c r="W23" s="26">
        <f t="shared" si="2"/>
        <v>838</v>
      </c>
      <c r="X23" s="27">
        <f t="shared" si="3"/>
        <v>67292.5</v>
      </c>
      <c r="Y23" s="27">
        <f t="shared" si="4"/>
        <v>81845.5</v>
      </c>
    </row>
    <row r="24" s="30" customFormat="1" ht="21" customHeight="1" spans="1:25">
      <c r="A24" s="13" t="s">
        <v>47</v>
      </c>
      <c r="B24" s="11">
        <v>307</v>
      </c>
      <c r="C24" s="11">
        <v>4</v>
      </c>
      <c r="D24" s="11">
        <v>484</v>
      </c>
      <c r="E24" s="11">
        <v>423</v>
      </c>
      <c r="F24" s="11">
        <v>0</v>
      </c>
      <c r="G24" s="11">
        <v>47</v>
      </c>
      <c r="H24" s="11">
        <v>0</v>
      </c>
      <c r="I24" s="40">
        <v>0</v>
      </c>
      <c r="J24" s="11">
        <v>14</v>
      </c>
      <c r="K24" s="11"/>
      <c r="L24" s="11">
        <v>8</v>
      </c>
      <c r="M24" s="11">
        <v>0</v>
      </c>
      <c r="N24" s="11"/>
      <c r="O24" s="11"/>
      <c r="P24" s="11"/>
      <c r="Q24" s="40"/>
      <c r="R24" s="11">
        <v>8</v>
      </c>
      <c r="S24" s="40"/>
      <c r="T24" s="40"/>
      <c r="U24" s="25">
        <f t="shared" si="0"/>
        <v>496</v>
      </c>
      <c r="V24" s="25">
        <f t="shared" si="1"/>
        <v>803</v>
      </c>
      <c r="W24" s="26">
        <f t="shared" si="2"/>
        <v>882</v>
      </c>
      <c r="X24" s="27">
        <f t="shared" si="3"/>
        <v>58509</v>
      </c>
      <c r="Y24" s="27">
        <f t="shared" si="4"/>
        <v>88902</v>
      </c>
    </row>
    <row r="25" s="30" customFormat="1" ht="21" customHeight="1" spans="1:25">
      <c r="A25" s="13" t="s">
        <v>49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 t="s">
        <v>61</v>
      </c>
      <c r="B26" s="11">
        <v>8</v>
      </c>
      <c r="C26" s="11">
        <v>4</v>
      </c>
      <c r="D26" s="11">
        <v>14</v>
      </c>
      <c r="E26" s="11">
        <v>0</v>
      </c>
      <c r="F26" s="11">
        <v>0</v>
      </c>
      <c r="G26" s="11">
        <v>2</v>
      </c>
      <c r="H26" s="11">
        <v>0</v>
      </c>
      <c r="I26" s="40">
        <v>0</v>
      </c>
      <c r="J26" s="11">
        <v>0</v>
      </c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6</v>
      </c>
      <c r="V26" s="25">
        <f t="shared" si="1"/>
        <v>14</v>
      </c>
      <c r="W26" s="26">
        <f t="shared" si="2"/>
        <v>16</v>
      </c>
      <c r="X26" s="27">
        <f t="shared" si="3"/>
        <v>1133</v>
      </c>
      <c r="Y26" s="27">
        <f t="shared" si="4"/>
        <v>1925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/>
      <c r="B28" s="11"/>
      <c r="C28" s="11"/>
      <c r="D28" s="11"/>
      <c r="E28" s="11"/>
      <c r="F28" s="11"/>
      <c r="G28" s="11"/>
      <c r="H28" s="11"/>
      <c r="I28" s="35"/>
      <c r="J28" s="11"/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>
        <v>272</v>
      </c>
      <c r="C29" s="11">
        <v>54</v>
      </c>
      <c r="D29" s="11">
        <v>886</v>
      </c>
      <c r="E29" s="11">
        <v>702</v>
      </c>
      <c r="F29" s="34">
        <v>1</v>
      </c>
      <c r="G29" s="11">
        <v>189</v>
      </c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946</v>
      </c>
      <c r="V29" s="25">
        <f t="shared" si="1"/>
        <v>1218</v>
      </c>
      <c r="W29" s="26">
        <v>0</v>
      </c>
      <c r="X29" s="28">
        <f t="shared" si="3"/>
        <v>131450</v>
      </c>
      <c r="Y29" s="28">
        <f t="shared" si="4"/>
        <v>158378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6010</v>
      </c>
      <c r="C31" s="36">
        <f t="shared" si="5"/>
        <v>1042</v>
      </c>
      <c r="D31" s="36">
        <f t="shared" si="5"/>
        <v>15158</v>
      </c>
      <c r="E31" s="36">
        <f t="shared" si="5"/>
        <v>11687</v>
      </c>
      <c r="F31" s="36">
        <f t="shared" si="5"/>
        <v>8</v>
      </c>
      <c r="G31" s="36">
        <f t="shared" si="5"/>
        <v>2776</v>
      </c>
      <c r="H31" s="36">
        <f t="shared" si="5"/>
        <v>25</v>
      </c>
      <c r="I31" s="36">
        <f t="shared" si="5"/>
        <v>22</v>
      </c>
      <c r="J31" s="36">
        <f t="shared" si="5"/>
        <v>201</v>
      </c>
      <c r="K31" s="36">
        <f t="shared" si="5"/>
        <v>0</v>
      </c>
      <c r="L31" s="36">
        <f t="shared" si="5"/>
        <v>243</v>
      </c>
      <c r="M31" s="36">
        <f t="shared" si="5"/>
        <v>3</v>
      </c>
      <c r="N31" s="36">
        <f t="shared" si="5"/>
        <v>5</v>
      </c>
      <c r="O31" s="36">
        <f t="shared" si="5"/>
        <v>111</v>
      </c>
      <c r="P31" s="36">
        <f t="shared" si="5"/>
        <v>0</v>
      </c>
      <c r="Q31" s="36">
        <f t="shared" si="5"/>
        <v>540</v>
      </c>
      <c r="R31" s="36">
        <f t="shared" si="5"/>
        <v>307</v>
      </c>
      <c r="S31" s="36">
        <f t="shared" si="5"/>
        <v>0</v>
      </c>
      <c r="T31" s="36">
        <f t="shared" si="5"/>
        <v>0</v>
      </c>
      <c r="U31" s="15">
        <f t="shared" si="5"/>
        <v>16123</v>
      </c>
      <c r="V31" s="25">
        <f t="shared" si="1"/>
        <v>22133</v>
      </c>
      <c r="W31" s="26">
        <f>SUM(W4:W30)</f>
        <v>25572</v>
      </c>
      <c r="X31" s="29">
        <f>SUM(X4:X30)</f>
        <v>2161016.5</v>
      </c>
      <c r="Y31" s="27">
        <f t="shared" si="4"/>
        <v>2756006.5</v>
      </c>
    </row>
    <row r="32" s="30" customFormat="1" ht="21" customHeight="1" spans="1:25">
      <c r="A32" s="14" t="s">
        <v>53</v>
      </c>
      <c r="B32" s="15">
        <f t="shared" ref="B32:P32" si="6">B31*B3</f>
        <v>594990</v>
      </c>
      <c r="C32" s="15">
        <f t="shared" si="6"/>
        <v>137544</v>
      </c>
      <c r="D32" s="15">
        <f t="shared" si="6"/>
        <v>83369</v>
      </c>
      <c r="E32" s="15">
        <f t="shared" si="6"/>
        <v>1157013</v>
      </c>
      <c r="F32" s="15">
        <f t="shared" si="6"/>
        <v>440</v>
      </c>
      <c r="G32" s="37">
        <f t="shared" si="6"/>
        <v>732864</v>
      </c>
      <c r="H32" s="15">
        <f t="shared" si="6"/>
        <v>7750</v>
      </c>
      <c r="I32" s="15">
        <f t="shared" si="6"/>
        <v>6292</v>
      </c>
      <c r="J32" s="15">
        <f t="shared" si="6"/>
        <v>11055</v>
      </c>
      <c r="K32" s="15">
        <f t="shared" si="6"/>
        <v>0</v>
      </c>
      <c r="L32" s="15">
        <f t="shared" si="6"/>
        <v>8019</v>
      </c>
      <c r="M32" s="15">
        <f t="shared" si="6"/>
        <v>82.5</v>
      </c>
      <c r="N32" s="15">
        <f t="shared" si="6"/>
        <v>715</v>
      </c>
      <c r="O32" s="15">
        <f t="shared" si="6"/>
        <v>15873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2161016.5</v>
      </c>
      <c r="Y32" s="29">
        <f>SUM(B32:P32)</f>
        <v>2756006.5</v>
      </c>
    </row>
    <row r="33" ht="21" customHeight="1"/>
  </sheetData>
  <protectedRanges>
    <protectedRange sqref="H5:H9 H12 H16" name="区域1_3"/>
    <protectedRange sqref="R4:T4 Q5:T28 M23 M25:M28 M5:M12 M20:M21 M16:M18" name="区域1_3_1_1_2_1"/>
    <protectedRange sqref="E29:G31" name="区域1_1_1_2"/>
    <protectedRange sqref="R4:T4 Q5:T28 M23 M25:M28 M5:M12 M20:M21 M16:M18" name="区域1_3_1_1_1"/>
    <protectedRange sqref="P4 N5:P12 P13 P14 P15 N16:P28" name="区域1_8_1"/>
    <protectedRange sqref="H5:H9 H12 H16" name="区域1_3_1_2"/>
    <protectedRange sqref="H5:H9 H12 H16" name="区域1_3_2_2"/>
    <protectedRange sqref="R4:T4 Q5:T28 M23 M25:M28 M5:M12 M20:M21 M16:M18" name="区域1_3_1_1_3_1"/>
    <protectedRange sqref="H5:H9 H12 H16" name="区域1_3_2_1_1"/>
    <protectedRange sqref="P4 N5:P12 P13 P14 P15 N16:P28" name="区域1_8_2_1_1"/>
    <protectedRange sqref="E29:G31" name="区域1_1_1"/>
    <protectedRange sqref="B25:C28 B5:C9 B12:C12 B18:C18 B16:C16" name="区域1_4"/>
    <protectedRange sqref="P4 N5:P12 P13 P14 P15 N16:P28" name="区域1_8"/>
    <protectedRange sqref="H5:H9 H12 H16" name="区域1_3_2"/>
    <protectedRange sqref="H5:H9 H12 H16" name="区域1_3_2_1"/>
    <protectedRange sqref="E29:G31" name="区域1_1"/>
    <protectedRange sqref="E29:G31" name="区域1_1_1_1"/>
    <protectedRange sqref="P4 N5:P12 P13 P14 P15 N16:P28" name="区域1_8_1_2"/>
    <protectedRange sqref="M23 M11 L21:M21 J25:M28 M20 M10 J5:M9 L17:M17 J12:M12 J18:M18 J16:M16" name="区域1_6_1_1"/>
    <protectedRange sqref="B25:C28 B5:C9 B12:C12 B18:C18 B16:C16" name="区域1"/>
    <protectedRange sqref="I5:I9 I12 I16" name="区域1_5_1"/>
    <protectedRange sqref="R4:T4 Q5:T28" name="区域1_3_1_1_1_2"/>
    <protectedRange sqref="P4 N5:P12 P13 P14 P15 N16:P28" name="区域1_8_1_3"/>
    <protectedRange sqref="F25:F28 F5:F9 F12 F18 F16" name="区域1_2"/>
    <protectedRange sqref="P4:P28" name="区域1_8_1_3_1"/>
    <protectedRange sqref="E30:G31 F29" name="区域1_1_1_3"/>
    <protectedRange sqref="R4:T4 Q5:T28" name="区域1_3_1_1_3_1_1"/>
    <protectedRange sqref="F25:F28 F5:F9 F12 F18 F16" name="区域1_2_1_1"/>
    <protectedRange sqref="N29:P31" name="区域1_7_1"/>
    <protectedRange sqref="B25:B28 B5:B9 B12 B18 B16" name="区域1_4_2"/>
    <protectedRange sqref="E25:E28 E5:E9 E12 E18 E16" name="区域1_9"/>
    <protectedRange sqref="L21 J25:L28 J5:L9 L17 J18:L18 J12:L13 J16:L16" name="区域1_12"/>
    <protectedRange sqref="D25:D28 D5:D9 D12 D18 D16" name="区域1_13"/>
    <protectedRange sqref="J29" name="区域1_15"/>
    <protectedRange sqref="E29" name="区域1_17"/>
    <protectedRange sqref="H5:H9 H12 H16" name="区域1_3_1"/>
    <protectedRange sqref="R4:T4 Q5:T28 M23 M25:M28 M5:M12 M20:M21 M16:M18" name="区域1_3_1_1_2_1_1"/>
    <protectedRange sqref="E29:G31" name="区域1_1_1_2_1"/>
    <protectedRange sqref="R4:T4 Q5:T28 M23 M25:M28 M5:M12 M20:M21 M16:M18" name="区域1_3_1_1_1_1"/>
    <protectedRange sqref="P4 N5:P12 P13 P14 P15 N16:P28" name="区域1_8_1_1"/>
    <protectedRange sqref="H5:H9 H12 H16" name="区域1_3_1_2_1"/>
    <protectedRange sqref="H5:H9 H12 H16" name="区域1_3_2_2_1"/>
    <protectedRange sqref="R4:T4 Q5:T28 M23 M25:M28 M5:M12 M20:M21 M16:M18" name="区域1_3_1_1_3_1_2"/>
    <protectedRange sqref="H5:H9 H12 H16" name="区域1_3_2_1_1_1"/>
    <protectedRange sqref="P4 N5:P12 P13 P14 P15 N16:P28" name="区域1_8_2_1_1_1"/>
    <protectedRange sqref="E29:G31" name="区域1_1_1_4"/>
    <protectedRange sqref="B25:C28 B5:C9 B12:C12 B18:C18 B16:C16" name="区域1_4_1"/>
    <protectedRange sqref="P4 N5:P12 P13 P14 P15 N16:P28" name="区域1_8_2"/>
    <protectedRange sqref="H5:H9 H12 H16" name="区域1_3_2_3"/>
    <protectedRange sqref="H5:H9 H12 H16" name="区域1_3_2_1_2"/>
    <protectedRange sqref="E29:G31" name="区域1_1_2"/>
    <protectedRange sqref="E29:G31" name="区域1_1_1_1_1"/>
    <protectedRange sqref="P4 N5:P12 P13 P14 P15 N16:P28" name="区域1_8_1_2_1"/>
    <protectedRange sqref="M23 M11 L21:M21 J25:M28 M20 M10 J5:M9 L17:M17 J12:M12 J18:M18 J16:M16" name="区域1_6_1_1_1"/>
    <protectedRange sqref="B25:C28 B5:C9 B12:C12 B18:C18 B16:C16" name="区域1_5"/>
    <protectedRange sqref="I5:I9 I12 I16" name="区域1_5_1_1"/>
    <protectedRange sqref="R4:T4 Q5:T28" name="区域1_3_1_1_1_2_1"/>
    <protectedRange sqref="P4 N5:P12 P13 P14 P15 N16:P28" name="区域1_8_1_3_2"/>
    <protectedRange sqref="F25:F28 F5:F9 F12 F18 F16" name="区域1_2_1"/>
    <protectedRange sqref="P4:P28" name="区域1_8_1_3_1_1"/>
    <protectedRange sqref="E30:G31 F29" name="区域1_1_1_3_1"/>
    <protectedRange sqref="R4:T4 Q5:T28" name="区域1_3_1_1_3_1_1_1"/>
    <protectedRange sqref="F25:F28 F5:F9 F12 F18 F16" name="区域1_2_1_1_1"/>
    <protectedRange sqref="N29:P31" name="区域1_7_1_1"/>
    <protectedRange sqref="B25:B28 B5:B9 B12 B18 B16" name="区域1_4_2_1"/>
    <protectedRange sqref="E25:E28 E5:E9 E12 E18 E16" name="区域1_9_1"/>
    <protectedRange sqref="L21 J25:L28 J5:L9 L17 J18:L18 J12:L13 J16:L16" name="区域1_12_1"/>
    <protectedRange sqref="D25:D28 D5:D9 D12 D18 D16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21:P28 N5:P12 P15 N16:P18 R20:R24 R5:R18 P13 P14" name="区域1_8_1_1_1"/>
    <protectedRange sqref="B25:C26 B5:C9 B16:C16" name="区域1_4_1_1"/>
    <protectedRange sqref="R4:T4 M5:M12 M16:M18 Q20:Q24 S20:T24 Q25:T28 Q5:Q18 S5:T18 M21 M23 M25:M28" name="区域1_3_1_1"/>
    <protectedRange sqref="P4 P20 N21:P28 N5:P12 P15 N16:P18 R20:R24 R5:R18 P13 P14" name="区域1_8_2_1"/>
    <protectedRange sqref="H16 H5:H9" name="区域1_3_1_3"/>
    <protectedRange sqref="H16 H5:H9" name="区域1_3_2_3_1"/>
    <protectedRange sqref="R4:T4 M5:M12 M16:M18 Q20:Q24 S20:T24 Q25:T28 Q5:Q18 S5:T18 M21 M23 M25:M28" name="区域1_3_1_1_3"/>
    <protectedRange sqref="H16 H5:H9" name="区域1_3_2_1_2_1"/>
    <protectedRange sqref="P4 P20 N21:P28 N5:P12 P15 N16:P18 R20:R24 R5:R18 P13 P14" name="区域1_8_2_1_2"/>
    <protectedRange sqref="E29:G31 E33:G33" name="区域1_1_3"/>
    <protectedRange sqref="K27:M28 J25:M26 M21 L12:M12 J5:M9 M11 M18 J16:M16 L17:M17 M23 M10" name="区域1_6"/>
    <protectedRange sqref="E29:G31 E33:G33" name="区域1_1_1_1_1_1"/>
    <protectedRange sqref="R4:T4 M5:M12 M16:M18 Q20:Q24 S20:T24 Q25:T28 Q5:Q18 S5:T18 M21 M23 M25:M28" name="区域1_3_1_1_1_1_1"/>
    <protectedRange sqref="P4 P20 N21:P28 N5:P12 P15 N16:P18 R20:R24 R5:R18 P13 P14" name="区域1_8_1_2_1_1"/>
    <protectedRange sqref="E29:G31 E33:G33" name="区域1_1_1_2_1_1"/>
    <protectedRange sqref="K27:M28 J25:M26 M21 L12:M12 J5:M9 M11 M18 J16:M16 L17:M17 M23 M10" name="区域1_6_1"/>
    <protectedRange sqref="D25:D26 D5:D9 D16" name="区域1_4_1_1_1"/>
    <protectedRange sqref="B25:C26 B5:C9 B16:C16" name="区域1_5_2"/>
    <protectedRange sqref="E25:G26 E5:G9 E16:G16" name="区域1_2_1_2"/>
    <protectedRange sqref="I16 I5: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21:P28 N5:P12 P15 N16:P18 R20:R24 R5:R18 P13 P14" name="区域1_8_1_4"/>
    <protectedRange sqref="E30:G31 F29 E33:G33" name="区域1_1_1_1_1_1_1"/>
    <protectedRange sqref="F25:F26 F5:F9 F16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21:P28 N5:P12 P15 N16:P18 R20:R24 R5:R18 P13 P14" name="区域1_8_2_2"/>
    <protectedRange sqref="R4:T4 Q20:Q24 S20:T24 Q25:T28 Q5:Q18 S5:T18" name="区域1_3_1_1_3_1_2_1"/>
    <protectedRange sqref="E30:G31 F29 E33:G33" name="区域1_1_1_2_1_1_1"/>
    <protectedRange sqref="F25:F26 F5:F9 F16" name="区域1_2_1_3_1"/>
    <protectedRange sqref="I16 I5:I9" name="区域1_5_2_1"/>
    <protectedRange sqref="N29:P31" name="区域1_7_1_1_1"/>
    <protectedRange sqref="P4:P18 P20:P28 R5:R18 R20:R24" name="区域1_8_2_1_1_1_1"/>
    <protectedRange sqref="B25:B26 B5:B9 B16" name="区域1_4_2_1_1"/>
    <protectedRange sqref="C25:C26 C5:C9 C16" name="区域1_3_3"/>
    <protectedRange sqref="E25:E26 E5:E9 E16" name="区域1_9_1_1"/>
    <protectedRange sqref="G25:G26 G5:G9 G16" name="区域1_10"/>
    <protectedRange sqref="H25:H26 H5:H9 H16" name="区域1_3_3_1"/>
    <protectedRange sqref="K27:L28 J25:L26 L12 J5:L9 J16:L16 L17" name="区域1_12_1_1"/>
    <protectedRange sqref="M5:O12 M16:O18 M21:O21 N22:O22 M23:O23 N24:O24 M25:O28" name="区域1_6_2"/>
    <protectedRange sqref="D25:D26 D5:D9 D16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2_2"/>
    <protectedRange sqref="E19:G19" name="区域1_1_1_1_3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1_1_5"/>
    <protectedRange sqref="E4:G4" name="区域1_1_1_2_5"/>
    <protectedRange sqref="E23:G23" name="区域1_1_1_1_6"/>
    <protectedRange sqref="E23:G23" name="区域1_1_1_2_6"/>
    <protectedRange sqref="E20:G20" name="区域1_1_1_1_7"/>
    <protectedRange sqref="E20:G20" name="区域1_1_1_2_7"/>
    <protectedRange sqref="N20:O20" name="区域1_7_4"/>
    <protectedRange sqref="E24:G24" name="区域1_1_1_1_8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_1_10"/>
    <protectedRange sqref="E22:G22" name="区域1_1_1_2_10"/>
    <protectedRange sqref="E21:G21" name="区域1_1_1_1_11"/>
    <protectedRange sqref="E21:G21" name="区域1_1_1_2_11"/>
    <protectedRange sqref="E12:G12" name="区域1_1_13"/>
    <protectedRange sqref="E12:G12" name="区域1_1_1_1_12"/>
    <protectedRange sqref="E12:G12" name="区域1_1_1_13"/>
    <protectedRange sqref="E12:G12" name="区域1_1_1_2_12"/>
    <protectedRange sqref="E13:G13" name="区域1_1_1_1_13"/>
    <protectedRange sqref="E13:G13" name="区域1_1_1_2_13"/>
    <protectedRange sqref="E15:G15" name="区域1_1_1_1_14"/>
    <protectedRange sqref="E15:G15" name="区域1_1_1_2_14"/>
    <protectedRange sqref="E10:G10" name="区域1_1_1_1_15"/>
    <protectedRange sqref="E10:G10" name="区域1_1_1_2_15"/>
    <protectedRange sqref="E11:G11" name="区域1_1_1_1_16"/>
    <protectedRange sqref="E11:G11" name="区域1_1_1_2_16"/>
    <protectedRange sqref="E18:G18" name="区域1_1_18"/>
    <protectedRange sqref="E18:G18" name="区域1_1_1_1_17"/>
    <protectedRange sqref="E18:G18" name="区域1_1_1_18"/>
    <protectedRange sqref="E18:G18" name="区域1_1_1_2_17"/>
    <protectedRange sqref="E17:G17" name="区域1_1_1_1_18"/>
    <protectedRange sqref="E17:G17" name="区域1_1_1_2_18"/>
    <protectedRange sqref="E23:G23" name="区域1_1_7"/>
    <protectedRange sqref="E23:G23" name="区域1_1_1_1_19"/>
    <protectedRange sqref="E23:G23" name="区域1_1_1_7"/>
    <protectedRange sqref="E23:G23" name="区域1_1_1_2_19"/>
    <protectedRange sqref="E11:G11" name="区域1_1_17"/>
    <protectedRange sqref="E11:G11" name="区域1_1_1_1_20"/>
    <protectedRange sqref="E11:G11" name="区域1_1_1_17"/>
    <protectedRange sqref="E11:G11" name="区域1_1_1_2_20"/>
    <protectedRange sqref="E22:G22" name="区域1_1_11"/>
    <protectedRange sqref="E22:G22" name="区域1_1_1_1_21"/>
    <protectedRange sqref="E22:G22" name="区域1_1_1_11"/>
    <protectedRange sqref="E22:G22" name="区域1_1_1_2_21"/>
    <protectedRange sqref="E21:G21" name="区域1_1_12"/>
    <protectedRange sqref="E21:G21" name="区域1_1_1_1_22"/>
    <protectedRange sqref="E21:G21" name="区域1_1_1_12"/>
    <protectedRange sqref="E21:G21" name="区域1_1_1_2_22"/>
    <protectedRange sqref="E24:G24" name="区域1_1_9"/>
    <protectedRange sqref="E24:G24" name="区域1_1_1_1_23"/>
    <protectedRange sqref="E24:G24" name="区域1_1_1_9"/>
    <protectedRange sqref="E24:G24" name="区域1_1_1_2_23"/>
    <protectedRange sqref="E20:G20" name="区域1_1_8"/>
    <protectedRange sqref="E20:G20" name="区域1_1_1_1_24"/>
    <protectedRange sqref="E20:G20" name="区域1_1_1_8"/>
    <protectedRange sqref="E20:G20" name="区域1_1_1_2_24"/>
    <protectedRange sqref="E10:G10" name="区域1_1_16"/>
    <protectedRange sqref="E10:G10" name="区域1_1_1_1_25"/>
    <protectedRange sqref="E10:G10" name="区域1_1_1_16"/>
    <protectedRange sqref="E10:G10" name="区域1_1_1_2_25"/>
    <protectedRange sqref="E4:G4" name="区域1_1_6"/>
    <protectedRange sqref="E4:G4" name="区域1_1_1_1_26"/>
    <protectedRange sqref="E4:G4" name="区域1_1_1_6"/>
    <protectedRange sqref="E4:G4" name="区域1_1_1_2_26"/>
    <protectedRange sqref="N4:O4" name="区域1_7_3"/>
    <protectedRange sqref="E17:G17" name="区域1_1_19"/>
    <protectedRange sqref="E17:G17" name="区域1_1_1_1_27"/>
    <protectedRange sqref="E17:G17" name="区域1_1_1_19"/>
    <protectedRange sqref="E17:G17" name="区域1_1_1_2_27"/>
    <protectedRange sqref="E13:G13" name="区域1_1_14"/>
    <protectedRange sqref="E13:G13" name="区域1_1_1_1_28"/>
    <protectedRange sqref="E13:G13" name="区域1_1_1_14"/>
    <protectedRange sqref="E13:G13" name="区域1_1_1_2_28"/>
    <protectedRange sqref="N13:O13" name="区域1_7_5"/>
    <protectedRange sqref="E19:G19" name="区域1_1_4"/>
    <protectedRange sqref="E19:G19" name="区域1_1_1_1_2"/>
    <protectedRange sqref="E19:G19" name="区域1_1_1_20"/>
    <protectedRange sqref="E19:G19" name="区域1_1_1_2_29"/>
    <protectedRange sqref="E14:G14" name="区域1_1_20"/>
    <protectedRange sqref="E14:G14" name="区域1_1_1_1_29"/>
    <protectedRange sqref="E14:G14" name="区域1_1_1_21"/>
    <protectedRange sqref="E14:G14" name="区域1_1_1_2_30"/>
    <protectedRange sqref="N14:O14" name="区域1_7_7"/>
    <protectedRange sqref="E15:G15" name="区域1_1_15"/>
    <protectedRange sqref="E15:G15" name="区域1_1_1_1_30"/>
    <protectedRange sqref="E15:G15" name="区域1_1_1_15"/>
    <protectedRange sqref="E15:G15" name="区域1_1_1_2_31"/>
    <protectedRange sqref="N15:O15" name="区域1_7_6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opLeftCell="A7" workbookViewId="0">
      <selection activeCell="M10" sqref="M10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110</v>
      </c>
      <c r="C4" s="11">
        <v>30</v>
      </c>
      <c r="D4" s="11">
        <v>543</v>
      </c>
      <c r="E4" s="11">
        <v>429</v>
      </c>
      <c r="F4" s="11"/>
      <c r="G4" s="11">
        <v>150</v>
      </c>
      <c r="H4" s="11">
        <v>24</v>
      </c>
      <c r="I4" s="11">
        <v>3</v>
      </c>
      <c r="J4" s="11">
        <v>1</v>
      </c>
      <c r="K4" s="11"/>
      <c r="L4" s="11"/>
      <c r="M4" s="11"/>
      <c r="N4" s="11">
        <v>23</v>
      </c>
      <c r="O4" s="11">
        <v>15</v>
      </c>
      <c r="P4" s="11"/>
      <c r="Q4" s="41">
        <v>270</v>
      </c>
      <c r="R4" s="42">
        <v>102</v>
      </c>
      <c r="S4" s="42"/>
      <c r="T4" s="42"/>
      <c r="U4" s="25">
        <f t="shared" ref="U4:U29" si="0">SUM(C4:P4)-D4</f>
        <v>675</v>
      </c>
      <c r="V4" s="25">
        <f t="shared" ref="V4:V31" si="1">SUM(B4:P4)-D4</f>
        <v>785</v>
      </c>
      <c r="W4" s="26">
        <f t="shared" ref="W4:W28" si="2">B4+C4+E4+F4+G4*2+H4*3+I4*3+J4+K4*6+L4*5+M4+N4*5+O4*5+P4+Q4</f>
        <v>1411</v>
      </c>
      <c r="X4" s="27">
        <f t="shared" ref="X4:X30" si="3">C4*$C$3+D4*$D$3+E4*$E$3+F4*$F$3+G4*$G$3+H4*$H$3+I4*$I$3+J4*$J$3+K4*$K$3+L4*$L$3+M4*$M$3+N4*$N$3+O4*$O$3+P4*$P$3</f>
        <v>102804.5</v>
      </c>
      <c r="Y4" s="27">
        <f t="shared" ref="Y4:Y31" si="4">B4*99+C4*$C$3+D4*$D$3+E4*$E$3+F4*$F$3+G4*$G$3+H4*$H$3+I4*$I$3+J4*$J$3+K4*$K$3+L4*$L$3+M4*$M$3+N4*$N$3+O4*$O$3+P4*$P$3</f>
        <v>113694.5</v>
      </c>
    </row>
    <row r="5" s="30" customFormat="1" ht="21" customHeight="1" spans="1:25">
      <c r="A5" s="13" t="s">
        <v>28</v>
      </c>
      <c r="B5" s="11">
        <v>398</v>
      </c>
      <c r="C5" s="11"/>
      <c r="D5" s="11">
        <v>732</v>
      </c>
      <c r="E5" s="11">
        <v>641</v>
      </c>
      <c r="F5" s="11"/>
      <c r="G5" s="11">
        <v>91</v>
      </c>
      <c r="H5" s="11"/>
      <c r="I5" s="11"/>
      <c r="J5" s="11">
        <v>25</v>
      </c>
      <c r="K5" s="11"/>
      <c r="L5" s="11"/>
      <c r="M5" s="11"/>
      <c r="N5" s="11"/>
      <c r="O5" s="11"/>
      <c r="P5" s="11"/>
      <c r="Q5" s="40"/>
      <c r="R5" s="11">
        <v>8</v>
      </c>
      <c r="S5" s="40"/>
      <c r="T5" s="40"/>
      <c r="U5" s="25">
        <f t="shared" si="0"/>
        <v>757</v>
      </c>
      <c r="V5" s="25">
        <f t="shared" si="1"/>
        <v>1155</v>
      </c>
      <c r="W5" s="26">
        <f t="shared" si="2"/>
        <v>1246</v>
      </c>
      <c r="X5" s="27">
        <f t="shared" si="3"/>
        <v>92884</v>
      </c>
      <c r="Y5" s="27">
        <f t="shared" si="4"/>
        <v>132286</v>
      </c>
    </row>
    <row r="6" s="30" customFormat="1" ht="21" customHeight="1" spans="1:25">
      <c r="A6" s="13" t="s">
        <v>29</v>
      </c>
      <c r="B6" s="11">
        <v>242</v>
      </c>
      <c r="C6" s="11">
        <v>96</v>
      </c>
      <c r="D6" s="11">
        <v>729</v>
      </c>
      <c r="E6" s="11">
        <v>469</v>
      </c>
      <c r="F6" s="11"/>
      <c r="G6" s="11">
        <v>164</v>
      </c>
      <c r="H6" s="11"/>
      <c r="I6" s="11"/>
      <c r="J6" s="11">
        <v>6</v>
      </c>
      <c r="K6" s="11"/>
      <c r="L6" s="11"/>
      <c r="M6" s="11"/>
      <c r="N6" s="11"/>
      <c r="O6" s="11"/>
      <c r="P6" s="11"/>
      <c r="Q6" s="40"/>
      <c r="R6" s="11">
        <v>6</v>
      </c>
      <c r="S6" s="40"/>
      <c r="T6" s="40"/>
      <c r="U6" s="25">
        <f t="shared" si="0"/>
        <v>735</v>
      </c>
      <c r="V6" s="25">
        <f t="shared" si="1"/>
        <v>977</v>
      </c>
      <c r="W6" s="26">
        <f t="shared" si="2"/>
        <v>1141</v>
      </c>
      <c r="X6" s="27">
        <f t="shared" si="3"/>
        <v>106738.5</v>
      </c>
      <c r="Y6" s="27">
        <f t="shared" si="4"/>
        <v>130696.5</v>
      </c>
    </row>
    <row r="7" s="30" customFormat="1" ht="21" customHeight="1" spans="1:25">
      <c r="A7" s="13" t="s">
        <v>30</v>
      </c>
      <c r="B7" s="11">
        <v>259</v>
      </c>
      <c r="C7" s="11">
        <v>162</v>
      </c>
      <c r="D7" s="11">
        <v>1056</v>
      </c>
      <c r="E7" s="11">
        <v>670</v>
      </c>
      <c r="F7" s="11"/>
      <c r="G7" s="11">
        <v>206</v>
      </c>
      <c r="H7" s="11"/>
      <c r="I7" s="11"/>
      <c r="J7" s="11">
        <v>9</v>
      </c>
      <c r="K7" s="11"/>
      <c r="L7" s="11">
        <v>2</v>
      </c>
      <c r="M7" s="11"/>
      <c r="N7" s="11"/>
      <c r="O7" s="11"/>
      <c r="P7" s="11"/>
      <c r="Q7" s="40"/>
      <c r="R7" s="11">
        <v>8</v>
      </c>
      <c r="S7" s="40"/>
      <c r="T7" s="40"/>
      <c r="U7" s="25">
        <f t="shared" si="0"/>
        <v>1049</v>
      </c>
      <c r="V7" s="25">
        <f t="shared" si="1"/>
        <v>1308</v>
      </c>
      <c r="W7" s="26">
        <f t="shared" si="2"/>
        <v>1522</v>
      </c>
      <c r="X7" s="27">
        <f t="shared" si="3"/>
        <v>148467</v>
      </c>
      <c r="Y7" s="27">
        <f t="shared" si="4"/>
        <v>174108</v>
      </c>
    </row>
    <row r="8" s="30" customFormat="1" ht="21" customHeight="1" spans="1:25">
      <c r="A8" s="13" t="s">
        <v>31</v>
      </c>
      <c r="B8" s="11">
        <v>263</v>
      </c>
      <c r="C8" s="11">
        <v>142</v>
      </c>
      <c r="D8" s="11">
        <v>837</v>
      </c>
      <c r="E8" s="11">
        <v>496</v>
      </c>
      <c r="F8" s="11">
        <v>1</v>
      </c>
      <c r="G8" s="11">
        <v>208</v>
      </c>
      <c r="H8" s="11"/>
      <c r="I8" s="11"/>
      <c r="J8" s="11">
        <v>5</v>
      </c>
      <c r="K8" s="11"/>
      <c r="L8" s="11">
        <v>3</v>
      </c>
      <c r="M8" s="11"/>
      <c r="N8" s="11"/>
      <c r="O8" s="11"/>
      <c r="P8" s="11"/>
      <c r="Q8" s="40"/>
      <c r="R8" s="11">
        <v>8</v>
      </c>
      <c r="S8" s="40">
        <v>1</v>
      </c>
      <c r="T8" s="40"/>
      <c r="U8" s="25">
        <f t="shared" si="0"/>
        <v>855</v>
      </c>
      <c r="V8" s="25">
        <f t="shared" si="1"/>
        <v>1118</v>
      </c>
      <c r="W8" s="26">
        <f t="shared" si="2"/>
        <v>1338</v>
      </c>
      <c r="X8" s="27">
        <f t="shared" si="3"/>
        <v>127792.5</v>
      </c>
      <c r="Y8" s="27">
        <f t="shared" si="4"/>
        <v>153829.5</v>
      </c>
    </row>
    <row r="9" s="30" customFormat="1" ht="21" customHeight="1" spans="1:25">
      <c r="A9" s="13" t="s">
        <v>32</v>
      </c>
      <c r="B9" s="11">
        <v>101</v>
      </c>
      <c r="C9" s="11"/>
      <c r="D9" s="11">
        <v>225</v>
      </c>
      <c r="E9" s="11">
        <v>191</v>
      </c>
      <c r="F9" s="11"/>
      <c r="G9" s="11">
        <v>34</v>
      </c>
      <c r="H9" s="11"/>
      <c r="I9" s="11"/>
      <c r="J9" s="11">
        <v>6</v>
      </c>
      <c r="K9" s="11"/>
      <c r="L9" s="11"/>
      <c r="M9" s="11"/>
      <c r="N9" s="11"/>
      <c r="O9" s="11"/>
      <c r="P9" s="11"/>
      <c r="Q9" s="40"/>
      <c r="R9" s="11">
        <v>6</v>
      </c>
      <c r="S9" s="40"/>
      <c r="T9" s="40"/>
      <c r="U9" s="25">
        <f t="shared" si="0"/>
        <v>231</v>
      </c>
      <c r="V9" s="25">
        <f t="shared" si="1"/>
        <v>332</v>
      </c>
      <c r="W9" s="26">
        <f t="shared" si="2"/>
        <v>366</v>
      </c>
      <c r="X9" s="27">
        <f t="shared" si="3"/>
        <v>29452.5</v>
      </c>
      <c r="Y9" s="27">
        <f t="shared" si="4"/>
        <v>39451.5</v>
      </c>
    </row>
    <row r="10" s="30" customFormat="1" ht="21" customHeight="1" spans="1:25">
      <c r="A10" s="13" t="s">
        <v>33</v>
      </c>
      <c r="B10" s="11">
        <v>290</v>
      </c>
      <c r="C10" s="11">
        <v>5</v>
      </c>
      <c r="D10" s="11">
        <v>676</v>
      </c>
      <c r="E10" s="11">
        <v>614</v>
      </c>
      <c r="F10" s="11"/>
      <c r="G10" s="11">
        <v>79</v>
      </c>
      <c r="H10" s="11"/>
      <c r="I10" s="11"/>
      <c r="J10" s="11">
        <v>23</v>
      </c>
      <c r="K10" s="11"/>
      <c r="L10" s="11">
        <v>45</v>
      </c>
      <c r="M10" s="11"/>
      <c r="N10" s="11"/>
      <c r="O10" s="11"/>
      <c r="P10" s="11"/>
      <c r="Q10" s="40"/>
      <c r="R10" s="11">
        <v>8</v>
      </c>
      <c r="S10" s="40">
        <v>3</v>
      </c>
      <c r="T10" s="40"/>
      <c r="U10" s="25">
        <f t="shared" si="0"/>
        <v>766</v>
      </c>
      <c r="V10" s="25">
        <f t="shared" si="1"/>
        <v>1056</v>
      </c>
      <c r="W10" s="26">
        <f t="shared" si="2"/>
        <v>1315</v>
      </c>
      <c r="X10" s="27">
        <f t="shared" si="3"/>
        <v>88770</v>
      </c>
      <c r="Y10" s="27">
        <f t="shared" si="4"/>
        <v>117480</v>
      </c>
    </row>
    <row r="11" s="30" customFormat="1" ht="21" customHeight="1" spans="1:25">
      <c r="A11" s="13" t="s">
        <v>34</v>
      </c>
      <c r="B11" s="11">
        <v>90</v>
      </c>
      <c r="C11" s="11">
        <v>34</v>
      </c>
      <c r="D11" s="11">
        <v>287</v>
      </c>
      <c r="E11" s="11">
        <v>195</v>
      </c>
      <c r="F11" s="11">
        <v>1</v>
      </c>
      <c r="G11" s="11">
        <v>61</v>
      </c>
      <c r="H11" s="11"/>
      <c r="I11" s="11"/>
      <c r="J11" s="11"/>
      <c r="K11" s="11"/>
      <c r="L11" s="11">
        <v>20</v>
      </c>
      <c r="M11" s="11"/>
      <c r="N11" s="11"/>
      <c r="O11" s="11"/>
      <c r="P11" s="11"/>
      <c r="Q11" s="40"/>
      <c r="R11" s="11">
        <v>2</v>
      </c>
      <c r="S11" s="40">
        <v>2</v>
      </c>
      <c r="T11" s="40"/>
      <c r="U11" s="25">
        <f t="shared" si="0"/>
        <v>311</v>
      </c>
      <c r="V11" s="25">
        <f t="shared" si="1"/>
        <v>401</v>
      </c>
      <c r="W11" s="26">
        <f t="shared" si="2"/>
        <v>542</v>
      </c>
      <c r="X11" s="27">
        <f t="shared" si="3"/>
        <v>42190.5</v>
      </c>
      <c r="Y11" s="27">
        <f t="shared" si="4"/>
        <v>51100.5</v>
      </c>
    </row>
    <row r="12" s="30" customFormat="1" ht="21" customHeight="1" spans="1:25">
      <c r="A12" s="13" t="s">
        <v>35</v>
      </c>
      <c r="B12" s="11">
        <v>197</v>
      </c>
      <c r="C12" s="11">
        <v>32</v>
      </c>
      <c r="D12" s="11">
        <v>405</v>
      </c>
      <c r="E12" s="11">
        <v>320</v>
      </c>
      <c r="F12" s="11"/>
      <c r="G12" s="11">
        <v>58</v>
      </c>
      <c r="H12" s="11">
        <v>5</v>
      </c>
      <c r="I12" s="11">
        <v>5</v>
      </c>
      <c r="J12" s="11"/>
      <c r="K12" s="11"/>
      <c r="L12" s="11">
        <v>17</v>
      </c>
      <c r="M12" s="11"/>
      <c r="N12" s="11"/>
      <c r="O12" s="11"/>
      <c r="P12" s="11"/>
      <c r="Q12" s="40"/>
      <c r="R12" s="11">
        <v>13</v>
      </c>
      <c r="S12" s="40">
        <v>2</v>
      </c>
      <c r="T12" s="40"/>
      <c r="U12" s="25">
        <f t="shared" si="0"/>
        <v>437</v>
      </c>
      <c r="V12" s="25">
        <f t="shared" si="1"/>
        <v>634</v>
      </c>
      <c r="W12" s="26">
        <f t="shared" si="2"/>
        <v>780</v>
      </c>
      <c r="X12" s="27">
        <f t="shared" si="3"/>
        <v>56984.5</v>
      </c>
      <c r="Y12" s="27">
        <f t="shared" si="4"/>
        <v>76487.5</v>
      </c>
    </row>
    <row r="13" s="30" customFormat="1" ht="21" customHeight="1" spans="1:25">
      <c r="A13" s="13" t="s">
        <v>36</v>
      </c>
      <c r="B13" s="11">
        <v>219</v>
      </c>
      <c r="C13" s="11">
        <v>168</v>
      </c>
      <c r="D13" s="11">
        <v>964</v>
      </c>
      <c r="E13" s="11">
        <v>487</v>
      </c>
      <c r="F13" s="11">
        <v>1</v>
      </c>
      <c r="G13" s="11">
        <v>297</v>
      </c>
      <c r="H13" s="11">
        <v>20</v>
      </c>
      <c r="I13" s="11">
        <v>11</v>
      </c>
      <c r="J13" s="11">
        <v>3</v>
      </c>
      <c r="K13" s="11"/>
      <c r="L13" s="11">
        <v>1</v>
      </c>
      <c r="M13" s="11"/>
      <c r="N13" s="11">
        <v>4</v>
      </c>
      <c r="O13" s="11"/>
      <c r="P13" s="11"/>
      <c r="Q13" s="40"/>
      <c r="R13" s="11">
        <v>20</v>
      </c>
      <c r="S13" s="40"/>
      <c r="T13" s="40"/>
      <c r="U13" s="25">
        <f t="shared" si="0"/>
        <v>992</v>
      </c>
      <c r="V13" s="25">
        <f t="shared" si="1"/>
        <v>1211</v>
      </c>
      <c r="W13" s="26">
        <f t="shared" si="2"/>
        <v>1590</v>
      </c>
      <c r="X13" s="27">
        <f t="shared" si="3"/>
        <v>164270</v>
      </c>
      <c r="Y13" s="27">
        <f t="shared" si="4"/>
        <v>185951</v>
      </c>
    </row>
    <row r="14" s="30" customFormat="1" ht="21" customHeight="1" spans="1:25">
      <c r="A14" s="13" t="s">
        <v>37</v>
      </c>
      <c r="B14" s="11">
        <v>194</v>
      </c>
      <c r="C14" s="11">
        <v>8</v>
      </c>
      <c r="D14" s="11">
        <v>515</v>
      </c>
      <c r="E14" s="11">
        <v>469</v>
      </c>
      <c r="F14" s="11"/>
      <c r="G14" s="11">
        <v>49</v>
      </c>
      <c r="H14" s="11"/>
      <c r="I14" s="11"/>
      <c r="J14" s="11">
        <v>18</v>
      </c>
      <c r="K14" s="11"/>
      <c r="L14" s="11">
        <v>10</v>
      </c>
      <c r="M14" s="11"/>
      <c r="N14" s="11"/>
      <c r="O14" s="11">
        <v>67</v>
      </c>
      <c r="P14" s="11"/>
      <c r="Q14" s="40">
        <v>135</v>
      </c>
      <c r="R14" s="11">
        <v>42</v>
      </c>
      <c r="S14" s="40">
        <v>2</v>
      </c>
      <c r="T14" s="40"/>
      <c r="U14" s="25">
        <f t="shared" si="0"/>
        <v>621</v>
      </c>
      <c r="V14" s="25">
        <f t="shared" si="1"/>
        <v>815</v>
      </c>
      <c r="W14" s="26">
        <f t="shared" si="2"/>
        <v>1307</v>
      </c>
      <c r="X14" s="27">
        <f t="shared" si="3"/>
        <v>74156.5</v>
      </c>
      <c r="Y14" s="27">
        <f t="shared" si="4"/>
        <v>93362.5</v>
      </c>
    </row>
    <row r="15" s="30" customFormat="1" ht="21" customHeight="1" spans="1:25">
      <c r="A15" s="13" t="s">
        <v>38</v>
      </c>
      <c r="B15" s="11">
        <v>569</v>
      </c>
      <c r="C15" s="11">
        <v>3</v>
      </c>
      <c r="D15" s="11">
        <v>688</v>
      </c>
      <c r="E15" s="11">
        <v>588</v>
      </c>
      <c r="F15" s="11"/>
      <c r="G15" s="11">
        <v>99</v>
      </c>
      <c r="H15" s="11">
        <v>1</v>
      </c>
      <c r="I15" s="11"/>
      <c r="J15" s="11">
        <v>12</v>
      </c>
      <c r="K15" s="11"/>
      <c r="L15" s="11">
        <v>18</v>
      </c>
      <c r="M15" s="11"/>
      <c r="N15" s="11"/>
      <c r="O15" s="11"/>
      <c r="P15" s="11"/>
      <c r="Q15" s="40">
        <v>135</v>
      </c>
      <c r="R15" s="11">
        <v>43</v>
      </c>
      <c r="S15" s="40">
        <v>2</v>
      </c>
      <c r="T15" s="40"/>
      <c r="U15" s="25">
        <f t="shared" si="0"/>
        <v>721</v>
      </c>
      <c r="V15" s="25">
        <f t="shared" si="1"/>
        <v>1290</v>
      </c>
      <c r="W15" s="26">
        <f t="shared" si="2"/>
        <v>1598</v>
      </c>
      <c r="X15" s="27">
        <f t="shared" si="3"/>
        <v>90092</v>
      </c>
      <c r="Y15" s="27">
        <f t="shared" si="4"/>
        <v>146423</v>
      </c>
    </row>
    <row r="16" s="30" customFormat="1" ht="21" customHeight="1" spans="1:25">
      <c r="A16" s="13" t="s">
        <v>39</v>
      </c>
      <c r="B16" s="11">
        <v>525</v>
      </c>
      <c r="C16" s="11">
        <v>92</v>
      </c>
      <c r="D16" s="11">
        <v>795</v>
      </c>
      <c r="E16" s="11">
        <v>560</v>
      </c>
      <c r="F16" s="11"/>
      <c r="G16" s="11">
        <v>194</v>
      </c>
      <c r="H16" s="11"/>
      <c r="I16" s="11"/>
      <c r="J16" s="11">
        <v>6</v>
      </c>
      <c r="K16" s="11"/>
      <c r="L16" s="11">
        <v>16</v>
      </c>
      <c r="M16" s="11"/>
      <c r="N16" s="11"/>
      <c r="O16" s="11"/>
      <c r="P16" s="11"/>
      <c r="Q16" s="40"/>
      <c r="R16" s="11">
        <v>4</v>
      </c>
      <c r="S16" s="40">
        <v>2</v>
      </c>
      <c r="T16" s="40"/>
      <c r="U16" s="25">
        <f t="shared" si="0"/>
        <v>868</v>
      </c>
      <c r="V16" s="25">
        <f t="shared" si="1"/>
        <v>1393</v>
      </c>
      <c r="W16" s="26">
        <f t="shared" si="2"/>
        <v>1651</v>
      </c>
      <c r="X16" s="27">
        <f t="shared" si="3"/>
        <v>124030.5</v>
      </c>
      <c r="Y16" s="27">
        <f t="shared" si="4"/>
        <v>176005.5</v>
      </c>
    </row>
    <row r="17" s="30" customFormat="1" ht="21" customHeight="1" spans="1:25">
      <c r="A17" s="13" t="s">
        <v>40</v>
      </c>
      <c r="B17" s="11">
        <v>245</v>
      </c>
      <c r="C17" s="11">
        <v>7</v>
      </c>
      <c r="D17" s="11">
        <v>502</v>
      </c>
      <c r="E17" s="11">
        <v>476</v>
      </c>
      <c r="F17" s="11">
        <v>3</v>
      </c>
      <c r="G17" s="11">
        <v>45</v>
      </c>
      <c r="H17" s="11">
        <v>1</v>
      </c>
      <c r="I17" s="40"/>
      <c r="J17" s="11">
        <v>25</v>
      </c>
      <c r="K17" s="11"/>
      <c r="L17" s="11">
        <v>16</v>
      </c>
      <c r="M17" s="11"/>
      <c r="N17" s="11"/>
      <c r="O17" s="11">
        <v>1</v>
      </c>
      <c r="P17" s="11"/>
      <c r="Q17" s="40"/>
      <c r="R17" s="11">
        <v>7</v>
      </c>
      <c r="S17" s="40">
        <v>2</v>
      </c>
      <c r="T17" s="40"/>
      <c r="U17" s="25">
        <f t="shared" si="0"/>
        <v>574</v>
      </c>
      <c r="V17" s="25">
        <f t="shared" si="1"/>
        <v>819</v>
      </c>
      <c r="W17" s="26">
        <f t="shared" si="2"/>
        <v>934</v>
      </c>
      <c r="X17" s="27">
        <f t="shared" si="3"/>
        <v>65210</v>
      </c>
      <c r="Y17" s="27">
        <f t="shared" si="4"/>
        <v>89465</v>
      </c>
    </row>
    <row r="18" s="30" customFormat="1" ht="21" customHeight="1" spans="1:25">
      <c r="A18" s="13" t="s">
        <v>41</v>
      </c>
      <c r="B18" s="11">
        <v>299</v>
      </c>
      <c r="C18" s="11">
        <v>66</v>
      </c>
      <c r="D18" s="11">
        <v>421</v>
      </c>
      <c r="E18" s="11">
        <v>291</v>
      </c>
      <c r="F18" s="11"/>
      <c r="G18" s="11">
        <v>75</v>
      </c>
      <c r="H18" s="11"/>
      <c r="I18" s="40"/>
      <c r="J18" s="11">
        <v>1</v>
      </c>
      <c r="K18" s="11"/>
      <c r="L18" s="11">
        <v>14</v>
      </c>
      <c r="M18" s="11"/>
      <c r="N18" s="11"/>
      <c r="O18" s="11"/>
      <c r="P18" s="11"/>
      <c r="Q18" s="40"/>
      <c r="R18" s="11">
        <v>2</v>
      </c>
      <c r="S18" s="40">
        <v>3</v>
      </c>
      <c r="T18" s="40"/>
      <c r="U18" s="25">
        <f t="shared" si="0"/>
        <v>447</v>
      </c>
      <c r="V18" s="25">
        <f t="shared" si="1"/>
        <v>746</v>
      </c>
      <c r="W18" s="26">
        <f t="shared" si="2"/>
        <v>877</v>
      </c>
      <c r="X18" s="27">
        <f t="shared" si="3"/>
        <v>60153.5</v>
      </c>
      <c r="Y18" s="27">
        <f t="shared" si="4"/>
        <v>89754.5</v>
      </c>
    </row>
    <row r="19" s="30" customFormat="1" ht="21" customHeight="1" spans="1:25">
      <c r="A19" s="13" t="s">
        <v>42</v>
      </c>
      <c r="B19" s="11">
        <v>217</v>
      </c>
      <c r="C19" s="11">
        <v>4</v>
      </c>
      <c r="D19" s="11">
        <v>645</v>
      </c>
      <c r="E19" s="11">
        <v>573</v>
      </c>
      <c r="F19" s="11"/>
      <c r="G19" s="11">
        <v>65</v>
      </c>
      <c r="H19" s="11"/>
      <c r="I19" s="40"/>
      <c r="J19" s="11">
        <v>23</v>
      </c>
      <c r="K19" s="11"/>
      <c r="L19" s="11">
        <v>13</v>
      </c>
      <c r="M19" s="11"/>
      <c r="N19" s="11"/>
      <c r="O19" s="11"/>
      <c r="P19" s="11"/>
      <c r="Q19" s="40"/>
      <c r="R19" s="11">
        <v>2</v>
      </c>
      <c r="S19" s="40">
        <v>2</v>
      </c>
      <c r="T19" s="40"/>
      <c r="U19" s="25">
        <f t="shared" si="0"/>
        <v>678</v>
      </c>
      <c r="V19" s="25">
        <f t="shared" si="1"/>
        <v>895</v>
      </c>
      <c r="W19" s="26">
        <f t="shared" si="2"/>
        <v>1012</v>
      </c>
      <c r="X19" s="27">
        <f t="shared" si="3"/>
        <v>79656.5</v>
      </c>
      <c r="Y19" s="27">
        <f t="shared" si="4"/>
        <v>101139.5</v>
      </c>
    </row>
    <row r="20" s="30" customFormat="1" ht="21" customHeight="1" spans="1:25">
      <c r="A20" s="13" t="s">
        <v>43</v>
      </c>
      <c r="B20" s="11">
        <v>145</v>
      </c>
      <c r="C20" s="11">
        <v>9</v>
      </c>
      <c r="D20" s="11">
        <v>678</v>
      </c>
      <c r="E20" s="11">
        <v>617</v>
      </c>
      <c r="F20" s="11"/>
      <c r="G20" s="11">
        <v>59</v>
      </c>
      <c r="H20" s="11"/>
      <c r="I20" s="40"/>
      <c r="J20" s="11">
        <v>21</v>
      </c>
      <c r="K20" s="11"/>
      <c r="L20" s="11">
        <v>36</v>
      </c>
      <c r="M20" s="11"/>
      <c r="N20" s="11"/>
      <c r="O20" s="11"/>
      <c r="P20" s="11"/>
      <c r="Q20" s="40"/>
      <c r="R20" s="11">
        <v>8</v>
      </c>
      <c r="S20" s="40">
        <v>2</v>
      </c>
      <c r="T20" s="40"/>
      <c r="U20" s="25">
        <f t="shared" si="0"/>
        <v>742</v>
      </c>
      <c r="V20" s="25">
        <f t="shared" si="1"/>
        <v>887</v>
      </c>
      <c r="W20" s="26">
        <f t="shared" si="2"/>
        <v>1090</v>
      </c>
      <c r="X20" s="27">
        <f t="shared" si="3"/>
        <v>83919</v>
      </c>
      <c r="Y20" s="27">
        <f t="shared" si="4"/>
        <v>98274</v>
      </c>
    </row>
    <row r="21" s="30" customFormat="1" ht="21" customHeight="1" spans="1:25">
      <c r="A21" s="13" t="s">
        <v>44</v>
      </c>
      <c r="B21" s="11">
        <v>414</v>
      </c>
      <c r="C21" s="11">
        <v>6</v>
      </c>
      <c r="D21" s="11">
        <v>652</v>
      </c>
      <c r="E21" s="11">
        <v>602</v>
      </c>
      <c r="F21" s="11"/>
      <c r="G21" s="11">
        <v>44</v>
      </c>
      <c r="H21" s="11"/>
      <c r="I21" s="40"/>
      <c r="J21" s="11">
        <v>19</v>
      </c>
      <c r="K21" s="11"/>
      <c r="L21" s="11">
        <v>12</v>
      </c>
      <c r="M21" s="11"/>
      <c r="N21" s="11"/>
      <c r="O21" s="11"/>
      <c r="P21" s="11"/>
      <c r="Q21" s="40"/>
      <c r="R21" s="11">
        <v>4</v>
      </c>
      <c r="S21" s="40">
        <v>1</v>
      </c>
      <c r="T21" s="40"/>
      <c r="U21" s="25">
        <f t="shared" si="0"/>
        <v>683</v>
      </c>
      <c r="V21" s="25">
        <f t="shared" si="1"/>
        <v>1097</v>
      </c>
      <c r="W21" s="26">
        <f t="shared" si="2"/>
        <v>1189</v>
      </c>
      <c r="X21" s="27">
        <f t="shared" si="3"/>
        <v>77033</v>
      </c>
      <c r="Y21" s="27">
        <f t="shared" si="4"/>
        <v>118019</v>
      </c>
    </row>
    <row r="22" s="30" customFormat="1" ht="21" customHeight="1" spans="1:25">
      <c r="A22" s="13" t="s">
        <v>45</v>
      </c>
      <c r="B22" s="11">
        <v>124</v>
      </c>
      <c r="C22" s="11">
        <v>117</v>
      </c>
      <c r="D22" s="11">
        <v>656</v>
      </c>
      <c r="E22" s="11">
        <v>366</v>
      </c>
      <c r="F22" s="11">
        <v>1</v>
      </c>
      <c r="G22" s="11">
        <v>176</v>
      </c>
      <c r="H22" s="11"/>
      <c r="I22" s="40"/>
      <c r="J22" s="11">
        <v>9</v>
      </c>
      <c r="K22" s="11"/>
      <c r="L22" s="11"/>
      <c r="M22" s="11">
        <v>1</v>
      </c>
      <c r="N22" s="11"/>
      <c r="O22" s="11"/>
      <c r="P22" s="11"/>
      <c r="Q22" s="40"/>
      <c r="R22" s="11">
        <v>6</v>
      </c>
      <c r="S22" s="40"/>
      <c r="T22" s="40"/>
      <c r="U22" s="25">
        <f t="shared" si="0"/>
        <v>670</v>
      </c>
      <c r="V22" s="25">
        <f t="shared" si="1"/>
        <v>794</v>
      </c>
      <c r="W22" s="26">
        <f t="shared" si="2"/>
        <v>970</v>
      </c>
      <c r="X22" s="27">
        <f t="shared" si="3"/>
        <v>102327.5</v>
      </c>
      <c r="Y22" s="27">
        <f t="shared" si="4"/>
        <v>114603.5</v>
      </c>
    </row>
    <row r="23" s="30" customFormat="1" ht="21" customHeight="1" spans="1:25">
      <c r="A23" s="13" t="s">
        <v>46</v>
      </c>
      <c r="B23" s="11">
        <v>576</v>
      </c>
      <c r="C23" s="11">
        <v>12</v>
      </c>
      <c r="D23" s="11">
        <v>799</v>
      </c>
      <c r="E23" s="11">
        <v>737</v>
      </c>
      <c r="F23" s="11"/>
      <c r="G23" s="11">
        <v>85</v>
      </c>
      <c r="H23" s="11"/>
      <c r="I23" s="40"/>
      <c r="J23" s="11">
        <v>23</v>
      </c>
      <c r="K23" s="11"/>
      <c r="L23" s="11">
        <v>18</v>
      </c>
      <c r="M23" s="11"/>
      <c r="N23" s="11"/>
      <c r="O23" s="11"/>
      <c r="P23" s="11"/>
      <c r="Q23" s="40"/>
      <c r="R23" s="11">
        <v>8</v>
      </c>
      <c r="S23" s="40">
        <v>4</v>
      </c>
      <c r="T23" s="40"/>
      <c r="U23" s="25">
        <f t="shared" si="0"/>
        <v>875</v>
      </c>
      <c r="V23" s="25">
        <f t="shared" si="1"/>
        <v>1451</v>
      </c>
      <c r="W23" s="26">
        <f t="shared" si="2"/>
        <v>1608</v>
      </c>
      <c r="X23" s="27">
        <f t="shared" si="3"/>
        <v>103240.5</v>
      </c>
      <c r="Y23" s="27">
        <f t="shared" si="4"/>
        <v>160264.5</v>
      </c>
    </row>
    <row r="24" s="30" customFormat="1" ht="21" customHeight="1" spans="1:25">
      <c r="A24" s="13" t="s">
        <v>47</v>
      </c>
      <c r="B24" s="11">
        <v>57</v>
      </c>
      <c r="C24" s="11">
        <v>4</v>
      </c>
      <c r="D24" s="11">
        <v>851</v>
      </c>
      <c r="E24" s="11">
        <v>768</v>
      </c>
      <c r="F24" s="11"/>
      <c r="G24" s="11">
        <v>88</v>
      </c>
      <c r="H24" s="11"/>
      <c r="I24" s="40"/>
      <c r="J24" s="11">
        <v>12</v>
      </c>
      <c r="K24" s="11"/>
      <c r="L24" s="11">
        <v>21</v>
      </c>
      <c r="M24" s="11">
        <v>1</v>
      </c>
      <c r="N24" s="11"/>
      <c r="O24" s="11"/>
      <c r="P24" s="11"/>
      <c r="Q24" s="40"/>
      <c r="R24" s="11">
        <v>4</v>
      </c>
      <c r="S24" s="40">
        <v>3</v>
      </c>
      <c r="T24" s="40"/>
      <c r="U24" s="25">
        <f t="shared" si="0"/>
        <v>894</v>
      </c>
      <c r="V24" s="25">
        <f t="shared" si="1"/>
        <v>951</v>
      </c>
      <c r="W24" s="26">
        <f t="shared" si="2"/>
        <v>1123</v>
      </c>
      <c r="X24" s="27">
        <f t="shared" si="3"/>
        <v>105853</v>
      </c>
      <c r="Y24" s="27">
        <f t="shared" si="4"/>
        <v>111496</v>
      </c>
    </row>
    <row r="25" s="30" customFormat="1" ht="21" customHeight="1" spans="1:25">
      <c r="A25" s="13" t="s">
        <v>49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 t="s">
        <v>56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61</v>
      </c>
      <c r="B28" s="11"/>
      <c r="C28" s="11">
        <v>7</v>
      </c>
      <c r="D28" s="11">
        <v>30</v>
      </c>
      <c r="E28" s="11">
        <v>16</v>
      </c>
      <c r="F28" s="11"/>
      <c r="G28" s="11">
        <v>6</v>
      </c>
      <c r="H28" s="11"/>
      <c r="I28" s="35"/>
      <c r="J28" s="11">
        <v>3</v>
      </c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32</v>
      </c>
      <c r="V28" s="25">
        <f t="shared" si="1"/>
        <v>32</v>
      </c>
      <c r="W28" s="26">
        <f t="shared" si="2"/>
        <v>38</v>
      </c>
      <c r="X28" s="27">
        <f t="shared" si="3"/>
        <v>4422</v>
      </c>
      <c r="Y28" s="27">
        <f t="shared" si="4"/>
        <v>4422</v>
      </c>
    </row>
    <row r="29" s="30" customFormat="1" ht="21" customHeight="1" spans="1:25">
      <c r="A29" s="33" t="s">
        <v>51</v>
      </c>
      <c r="B29" s="11"/>
      <c r="C29" s="11"/>
      <c r="D29" s="11"/>
      <c r="E29" s="11"/>
      <c r="F29" s="34"/>
      <c r="G29" s="11"/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0</v>
      </c>
      <c r="V29" s="25">
        <f t="shared" si="1"/>
        <v>0</v>
      </c>
      <c r="W29" s="26">
        <v>0</v>
      </c>
      <c r="X29" s="28">
        <f t="shared" si="3"/>
        <v>0</v>
      </c>
      <c r="Y29" s="28">
        <f t="shared" si="4"/>
        <v>0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5534</v>
      </c>
      <c r="C31" s="36">
        <f t="shared" si="5"/>
        <v>1004</v>
      </c>
      <c r="D31" s="36">
        <f t="shared" si="5"/>
        <v>13686</v>
      </c>
      <c r="E31" s="36">
        <f t="shared" si="5"/>
        <v>10575</v>
      </c>
      <c r="F31" s="36">
        <f t="shared" si="5"/>
        <v>7</v>
      </c>
      <c r="G31" s="36">
        <f t="shared" si="5"/>
        <v>2333</v>
      </c>
      <c r="H31" s="36">
        <f t="shared" si="5"/>
        <v>51</v>
      </c>
      <c r="I31" s="36">
        <f t="shared" si="5"/>
        <v>19</v>
      </c>
      <c r="J31" s="36">
        <f t="shared" si="5"/>
        <v>250</v>
      </c>
      <c r="K31" s="36">
        <f t="shared" si="5"/>
        <v>0</v>
      </c>
      <c r="L31" s="36">
        <f t="shared" si="5"/>
        <v>262</v>
      </c>
      <c r="M31" s="36">
        <f t="shared" si="5"/>
        <v>2</v>
      </c>
      <c r="N31" s="36">
        <f t="shared" si="5"/>
        <v>27</v>
      </c>
      <c r="O31" s="36">
        <f t="shared" si="5"/>
        <v>83</v>
      </c>
      <c r="P31" s="36">
        <f t="shared" si="5"/>
        <v>0</v>
      </c>
      <c r="Q31" s="36">
        <f t="shared" si="5"/>
        <v>540</v>
      </c>
      <c r="R31" s="36">
        <f t="shared" si="5"/>
        <v>311</v>
      </c>
      <c r="S31" s="36">
        <f t="shared" si="5"/>
        <v>31</v>
      </c>
      <c r="T31" s="36">
        <f t="shared" si="5"/>
        <v>0</v>
      </c>
      <c r="U31" s="15">
        <f t="shared" si="5"/>
        <v>14613</v>
      </c>
      <c r="V31" s="25">
        <f t="shared" si="1"/>
        <v>20147</v>
      </c>
      <c r="W31" s="26">
        <f>SUM(W4:W30)</f>
        <v>24648</v>
      </c>
      <c r="X31" s="29">
        <f>SUM(X4:X30)</f>
        <v>1930448</v>
      </c>
      <c r="Y31" s="27">
        <f t="shared" si="4"/>
        <v>2478314</v>
      </c>
    </row>
    <row r="32" s="30" customFormat="1" ht="21" customHeight="1" spans="1:25">
      <c r="A32" s="14" t="s">
        <v>53</v>
      </c>
      <c r="B32" s="15">
        <f t="shared" ref="B32:P32" si="6">B31*B3</f>
        <v>547866</v>
      </c>
      <c r="C32" s="15">
        <f t="shared" si="6"/>
        <v>132528</v>
      </c>
      <c r="D32" s="15">
        <f t="shared" si="6"/>
        <v>75273</v>
      </c>
      <c r="E32" s="15">
        <f t="shared" si="6"/>
        <v>1046925</v>
      </c>
      <c r="F32" s="15">
        <f t="shared" si="6"/>
        <v>385</v>
      </c>
      <c r="G32" s="37">
        <f t="shared" si="6"/>
        <v>615912</v>
      </c>
      <c r="H32" s="15">
        <f t="shared" si="6"/>
        <v>15810</v>
      </c>
      <c r="I32" s="15">
        <f t="shared" si="6"/>
        <v>5434</v>
      </c>
      <c r="J32" s="15">
        <f t="shared" si="6"/>
        <v>13750</v>
      </c>
      <c r="K32" s="15">
        <f t="shared" si="6"/>
        <v>0</v>
      </c>
      <c r="L32" s="15">
        <f t="shared" si="6"/>
        <v>8646</v>
      </c>
      <c r="M32" s="15">
        <f t="shared" si="6"/>
        <v>55</v>
      </c>
      <c r="N32" s="15">
        <f t="shared" si="6"/>
        <v>3861</v>
      </c>
      <c r="O32" s="15">
        <f t="shared" si="6"/>
        <v>11869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1930448</v>
      </c>
      <c r="Y32" s="29">
        <f>SUM(B32:P32)</f>
        <v>2478314</v>
      </c>
    </row>
    <row r="33" ht="21" customHeight="1"/>
  </sheetData>
  <protectedRanges>
    <protectedRange sqref="H16 H5:H11" name="区域1_3"/>
    <protectedRange sqref="R4:T4 Q5:T28 M25:M28 M5:M12 M18:M22 M15:M16" name="区域1_3_1_1_2_1"/>
    <protectedRange sqref="E29:G31" name="区域1_1_1_2"/>
    <protectedRange sqref="R4:T4 Q5:T28 M25:M28 M5:M12 M18:M22 M15:M16" name="区域1_3_1_1_1"/>
    <protectedRange sqref="P23 N24:P28 O13:P13 P4 N5:P12 P17 N18:P22 P14 N15:P16" name="区域1_8_1"/>
    <protectedRange sqref="H16 H5:H11" name="区域1_3_1_2"/>
    <protectedRange sqref="H16 H5:H11" name="区域1_3_2_2"/>
    <protectedRange sqref="R4:T4 Q5:T28 M25:M28 M5:M12 M18:M22 M15:M16" name="区域1_3_1_1_3_1"/>
    <protectedRange sqref="H16 H5:H11" name="区域1_3_2_1_1"/>
    <protectedRange sqref="P23 N24:P28 O13:P13 P4 N5:P12 P17 N18:P22 P14 N15:P16" name="区域1_8_2_1_1"/>
    <protectedRange sqref="E29:G31" name="区域1_1_1"/>
    <protectedRange sqref="B25:C28 B5:C11 B16:C16 B19:C22" name="区域1_4"/>
    <protectedRange sqref="P23 N24:P28 O13:P13 P4 N5:P12 P17 N18:P22 P14 N15:P16" name="区域1_8"/>
    <protectedRange sqref="H16 H5:H11" name="区域1_3_2"/>
    <protectedRange sqref="H16 H5:H11" name="区域1_3_2_1"/>
    <protectedRange sqref="E29:G31" name="区域1_1"/>
    <protectedRange sqref="E29:G31" name="区域1_1_1_1"/>
    <protectedRange sqref="P23 N24:P28 O13:P13 P4 N5:P12 P17 N18:P22 P14 N15:P16" name="区域1_8_1_2"/>
    <protectedRange sqref="M15 J25:M28 L12:M12 J5:M11 J16:M16 L18:M18 J19:M22" name="区域1_6_1_1"/>
    <protectedRange sqref="B25:C28 B5:C11 B16:C16 B19:C22" name="区域1"/>
    <protectedRange sqref="I16 I5:I11" name="区域1_5_1"/>
    <protectedRange sqref="R4:T4 Q5:T28" name="区域1_3_1_1_1_2"/>
    <protectedRange sqref="P23 N24:P28 O13:P13 P4 N5:P12 P17 N18:P22 P14 N15:P16" name="区域1_8_1_3"/>
    <protectedRange sqref="F25:F28 F5:F11 F16 F19:F22" name="区域1_2"/>
    <protectedRange sqref="P4:P28" name="区域1_8_1_3_1"/>
    <protectedRange sqref="E30:G31 F29" name="区域1_1_1_3"/>
    <protectedRange sqref="R4:T4 Q5:T28" name="区域1_3_1_1_3_1_1"/>
    <protectedRange sqref="F25:F28 F5:F11 F16 F19:F22" name="区域1_2_1_1"/>
    <protectedRange sqref="N29:P31" name="区域1_7_1"/>
    <protectedRange sqref="B25:B28 B5:B11 B16 B19:B22" name="区域1_4_2"/>
    <protectedRange sqref="E25:E28 E5:E11 E16 E19:E22" name="区域1_9"/>
    <protectedRange sqref="J25:L28 L12 J5:L11 J16:L16 J13:L13 L18 J19:L22" name="区域1_12"/>
    <protectedRange sqref="D25:D28 D5:D11 D16 D19:D22" name="区域1_13"/>
    <protectedRange sqref="J29" name="区域1_15"/>
    <protectedRange sqref="E29" name="区域1_17"/>
    <protectedRange sqref="H16 H5:H11" name="区域1_3_1"/>
    <protectedRange sqref="R4:T4 Q5:T28 M25:M28 M5:M12 M18:M22 M15:M16" name="区域1_3_1_1_2_1_1"/>
    <protectedRange sqref="E29:G31" name="区域1_1_1_2_1"/>
    <protectedRange sqref="R4:T4 Q5:T28 M25:M28 M5:M12 M18:M22 M15:M16" name="区域1_3_1_1_1_1"/>
    <protectedRange sqref="P23 N24:P28 O13:P13 P4 N5:P12 P17 N18:P22 P14 N15:P16" name="区域1_8_1_1"/>
    <protectedRange sqref="H16 H5:H11" name="区域1_3_1_2_1"/>
    <protectedRange sqref="H16 H5:H11" name="区域1_3_2_2_1"/>
    <protectedRange sqref="R4:T4 Q5:T28 M25:M28 M5:M12 M18:M22 M15:M16" name="区域1_3_1_1_3_1_2"/>
    <protectedRange sqref="H16 H5:H11" name="区域1_3_2_1_1_1"/>
    <protectedRange sqref="P23 N24:P28 O13:P13 P4 N5:P12 P17 N18:P22 P14 N15:P16" name="区域1_8_2_1_1_1"/>
    <protectedRange sqref="E29:G31" name="区域1_1_1_4"/>
    <protectedRange sqref="B25:C28 B5:C11 B16:C16 B19:C22" name="区域1_4_1"/>
    <protectedRange sqref="P23 N24:P28 O13:P13 P4 N5:P12 P17 N18:P22 P14 N15:P16" name="区域1_8_2"/>
    <protectedRange sqref="H16 H5:H11" name="区域1_3_2_3"/>
    <protectedRange sqref="H16 H5:H11" name="区域1_3_2_1_2"/>
    <protectedRange sqref="E29:G31" name="区域1_1_2"/>
    <protectedRange sqref="E29:G31" name="区域1_1_1_1_1"/>
    <protectedRange sqref="P23 N24:P28 O13:P13 P4 N5:P12 P17 N18:P22 P14 N15:P16" name="区域1_8_1_2_1"/>
    <protectedRange sqref="M15 J25:M28 L12:M12 J5:M11 J16:M16 L18:M18 J19:M22" name="区域1_6_1_1_1"/>
    <protectedRange sqref="B25:C28 B5:C11 B16:C16 B19:C22" name="区域1_5"/>
    <protectedRange sqref="I16 I5:I11" name="区域1_5_1_1"/>
    <protectedRange sqref="R4:T4 Q5:T28" name="区域1_3_1_1_1_2_1"/>
    <protectedRange sqref="P23 N24:P28 O13:P13 P4 N5:P12 P17 N18:P22 P14 N15:P16" name="区域1_8_1_3_2"/>
    <protectedRange sqref="F25:F28 F5:F11 F16 F19:F22" name="区域1_2_1"/>
    <protectedRange sqref="P4:P28" name="区域1_8_1_3_1_1"/>
    <protectedRange sqref="E30:G31 F29" name="区域1_1_1_3_1"/>
    <protectedRange sqref="R4:T4 Q5:T28" name="区域1_3_1_1_3_1_1_1"/>
    <protectedRange sqref="F25:F28 F5:F11 F16 F19:F22" name="区域1_2_1_1_1"/>
    <protectedRange sqref="N29:P31" name="区域1_7_1_1"/>
    <protectedRange sqref="B25:B28 B5:B11 B16 B19:B22" name="区域1_4_2_1"/>
    <protectedRange sqref="E25:E28 E5:E11 E16 E19:E22" name="区域1_9_1"/>
    <protectedRange sqref="J25:L28 L12 J5:L11 J16:L16 J13:L13 L18 J19:L22" name="区域1_12_1"/>
    <protectedRange sqref="D25:D28 D5:D11 D16 D19:D22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5:P12 O13:P13 P15 R20:R24 R5:R18 N21:P22 P23 N24:P28 N16:P16 P17 N18:P18 P14" name="区域1_8_1_1_1"/>
    <protectedRange sqref="B25:C26 B5:C9 B16:C16" name="区域1_4_1_1"/>
    <protectedRange sqref="R4:T4 M5:M12 Q20:Q24 S20:T24 Q25:T28 Q5:Q18 S5:T18 M21:M22 M25:M28 M16 M18" name="区域1_3_1_1"/>
    <protectedRange sqref="P4 P20 N5:P12 O13:P13 P15 R20:R24 R5:R18 N21:P22 P23 N24:P28 N16:P16 P17 N18:P18 P14" name="区域1_8_2_1"/>
    <protectedRange sqref="H16 H5:H9" name="区域1_3_1_3"/>
    <protectedRange sqref="H16 H5:H9" name="区域1_3_2_3_1"/>
    <protectedRange sqref="R4:T4 M5:M12 Q20:Q24 S20:T24 Q25:T28 Q5:Q18 S5:T18 M21:M22 M25:M28 M16 M18" name="区域1_3_1_1_3"/>
    <protectedRange sqref="H16 H5:H9" name="区域1_3_2_1_2_1"/>
    <protectedRange sqref="P4 P20 N5:P12 O13:P13 P15 R20:R24 R5:R18 N21:P22 P23 N24:P28 N16:P16 P17 N18:P18 P14" name="区域1_8_2_1_2"/>
    <protectedRange sqref="E29:G31 E33:G33" name="区域1_1_3"/>
    <protectedRange sqref="K27:M28 J25:M26 M21 L12:M12 J5:M9 L10:M10 M11 M18 J16:M16 L22:M22" name="区域1_6"/>
    <protectedRange sqref="E29:G31 E33:G33" name="区域1_1_1_1_1_1"/>
    <protectedRange sqref="R4:T4 M5:M12 Q20:Q24 S20:T24 Q25:T28 Q5:Q18 S5:T18 M21:M22 M25:M28 M16 M18" name="区域1_3_1_1_1_1_1"/>
    <protectedRange sqref="P4 P20 N5:P12 O13:P13 P15 R20:R24 R5:R18 N21:P22 P23 N24:P28 N16:P16 P17 N18:P18 P14" name="区域1_8_1_2_1_1"/>
    <protectedRange sqref="E29:G31 E33:G33" name="区域1_1_1_2_1_1"/>
    <protectedRange sqref="K27:M28 J25:M26 M21 L12:M12 J5:M9 L10:M10 M11 M18 J16:M16 L22:M22" name="区域1_6_1"/>
    <protectedRange sqref="D25:D26 D5:D9 D16" name="区域1_4_1_1_1"/>
    <protectedRange sqref="B25:C26 B5:C9 B16:C16" name="区域1_5_2"/>
    <protectedRange sqref="E25:G26 E5:G9 E16:G16" name="区域1_2_1_2"/>
    <protectedRange sqref="I16 I5: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5:P12 O13:P13 P15 R20:R24 R5:R18 N21:P22 P23 N24:P28 N16:P16 P17 N18:P18 P14" name="区域1_8_1_4"/>
    <protectedRange sqref="E30:G31 F29 E33:G33" name="区域1_1_1_1_1_1_1"/>
    <protectedRange sqref="F25:F26 F5:F9 F16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5:P12 O13:P13 P15 R20:R24 R5:R18 N21:P22 P23 N24:P28 N16:P16 P17 N18:P18 P14" name="区域1_8_2_2"/>
    <protectedRange sqref="R4:T4 Q20:Q24 S20:T24 Q25:T28 Q5:Q18 S5:T18" name="区域1_3_1_1_3_1_2_1"/>
    <protectedRange sqref="E30:G31 F29 E33:G33" name="区域1_1_1_2_1_1_1"/>
    <protectedRange sqref="F25:F26 F5:F9 F16" name="区域1_2_1_3_1"/>
    <protectedRange sqref="I16 I5:I9" name="区域1_5_2_1"/>
    <protectedRange sqref="N29:P31" name="区域1_7_1_1_1"/>
    <protectedRange sqref="P4:P18 P20:P28 R5:R18 R20:R24" name="区域1_8_2_1_1_1_1"/>
    <protectedRange sqref="B25:B26 B5:B9 B16" name="区域1_4_2_1_1"/>
    <protectedRange sqref="C25:C26 C5:C9 C16" name="区域1_3_3"/>
    <protectedRange sqref="E25:E26 E5:E9 E16" name="区域1_9_1_1"/>
    <protectedRange sqref="G25:G26 G5:G9 G16" name="区域1_10"/>
    <protectedRange sqref="H25:H26 H5:H9 H16" name="区域1_3_3_1"/>
    <protectedRange sqref="K27:L28 J25:L26 L12 J5:L9 L10 J16:L16 L22" name="区域1_12_1_1"/>
    <protectedRange sqref="M5:O12 O13 M21:O22 N24:O24 M25:O28 M16:O16 M18:O18" name="区域1_6_2"/>
    <protectedRange sqref="D25:D26 D5:D9 D16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1_2"/>
    <protectedRange sqref="E19:G19" name="区域1_1_1_2_2"/>
    <protectedRange sqref="E19:G19" name="区域1_1_4"/>
    <protectedRange sqref="E19:G19" name="区域1_1_1_1_3"/>
    <protectedRange sqref="E19:G19" name="区域1_1_1_4_1_1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1_1_5"/>
    <protectedRange sqref="E4:G4" name="区域1_1_1_2_5"/>
    <protectedRange sqref="E23:G23" name="区域1_1_1_1_6"/>
    <protectedRange sqref="E23:G23" name="区域1_1_1_2_6"/>
    <protectedRange sqref="E20:G20" name="区域1_1_8"/>
    <protectedRange sqref="E20:G20" name="区域1_1_1_1_7"/>
    <protectedRange sqref="E20:G20" name="区域1_1_1_8"/>
    <protectedRange sqref="E20:G20" name="区域1_1_1_2_7"/>
    <protectedRange sqref="N20:O20" name="区域1_7_4"/>
    <protectedRange sqref="E24:G24" name="区域1_1_1_1_8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1"/>
    <protectedRange sqref="E22:G22" name="区域1_1_1_1_10"/>
    <protectedRange sqref="E22:G22" name="区域1_1_1_11"/>
    <protectedRange sqref="E22:G22" name="区域1_1_1_2_10"/>
    <protectedRange sqref="E21:G21" name="区域1_1_12"/>
    <protectedRange sqref="E21:G21" name="区域1_1_1_1_11"/>
    <protectedRange sqref="E21:G21" name="区域1_1_1_12"/>
    <protectedRange sqref="E21:G21" name="区域1_1_1_2_11"/>
    <protectedRange sqref="E12:G12" name="区域1_1_1_1_12"/>
    <protectedRange sqref="E12:G12" name="区域1_1_1_2_12"/>
    <protectedRange sqref="E13:G13" name="区域1_1_1_1_13"/>
    <protectedRange sqref="E13:G13" name="区域1_1_1_2_13"/>
    <protectedRange sqref="E15:G15" name="区域1_1_1_1_14"/>
    <protectedRange sqref="E15:G15" name="区域1_1_1_2_14"/>
    <protectedRange sqref="N15:O15" name="区域1_7_6"/>
    <protectedRange sqref="E10:G10" name="区域1_1_16"/>
    <protectedRange sqref="E10:G10" name="区域1_1_1_1_15"/>
    <protectedRange sqref="E10:G10" name="区域1_1_1_16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_1_17"/>
    <protectedRange sqref="E18:G18" name="区域1_1_1_2_17"/>
    <protectedRange sqref="E17:G17" name="区域1_1_1_1_18"/>
    <protectedRange sqref="E17:G17" name="区域1_1_1_2_18"/>
    <protectedRange sqref="E23:G23" name="区域1_1_7"/>
    <protectedRange sqref="E23:G23" name="区域1_1_1_1_19"/>
    <protectedRange sqref="E23:G23" name="区域1_1_1_7"/>
    <protectedRange sqref="E23:G23" name="区域1_1_1_2_19"/>
    <protectedRange sqref="N23:O23" name="区域1_7_7"/>
    <protectedRange sqref="E15:G15" name="区域1_1_15"/>
    <protectedRange sqref="E15:G15" name="区域1_1_1_1_20"/>
    <protectedRange sqref="E15:G15" name="区域1_1_1_15"/>
    <protectedRange sqref="E15:G15" name="区域1_1_1_2_20"/>
    <protectedRange sqref="E24:G24" name="区域1_1_9"/>
    <protectedRange sqref="E24:G24" name="区域1_1_1_1_21"/>
    <protectedRange sqref="E24:G24" name="区域1_1_1_9"/>
    <protectedRange sqref="E24:G24" name="区域1_1_1_2_21"/>
    <protectedRange sqref="E13:G13" name="区域1_1_14"/>
    <protectedRange sqref="E13:G13" name="区域1_1_1_1_22"/>
    <protectedRange sqref="E13:G13" name="区域1_1_1_14"/>
    <protectedRange sqref="E13:G13" name="区域1_1_1_2_22"/>
    <protectedRange sqref="N13" name="区域1_7_5"/>
    <protectedRange sqref="E12:G12" name="区域1_1_13"/>
    <protectedRange sqref="E12:G12" name="区域1_1_1_1_23"/>
    <protectedRange sqref="E12:G12" name="区域1_1_1_13"/>
    <protectedRange sqref="E12:G12" name="区域1_1_1_2_23"/>
    <protectedRange sqref="E4:G4" name="区域1_1_6"/>
    <protectedRange sqref="E4:G4" name="区域1_1_1_1_24"/>
    <protectedRange sqref="E4:G4" name="区域1_1_1_6"/>
    <protectedRange sqref="E4:G4" name="区域1_1_1_2_24"/>
    <protectedRange sqref="N4:O4" name="区域1_7_3"/>
    <protectedRange sqref="E17:G17" name="区域1_1_19"/>
    <protectedRange sqref="E17:G17" name="区域1_1_1_1_25"/>
    <protectedRange sqref="E17:G17" name="区域1_1_1_19"/>
    <protectedRange sqref="E17:G17" name="区域1_1_1_2_25"/>
    <protectedRange sqref="N17:O17" name="区域1_7_8"/>
    <protectedRange sqref="E14:G14" name="区域1_1_20"/>
    <protectedRange sqref="E14:G14" name="区域1_1_1_1_26"/>
    <protectedRange sqref="E14:G14" name="区域1_1_1_20"/>
    <protectedRange sqref="E14:G14" name="区域1_1_1_2_26"/>
    <protectedRange sqref="N14:O14" name="区域1_7_9"/>
    <protectedRange sqref="E18:G18" name="区域1_1_18"/>
    <protectedRange sqref="E18:G18" name="区域1_1_1_1_27"/>
    <protectedRange sqref="E18:G18" name="区域1_1_1_18"/>
    <protectedRange sqref="E18:G18" name="区域1_1_1_2_27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workbookViewId="0">
      <selection activeCell="P14" sqref="P14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235</v>
      </c>
      <c r="C4" s="11">
        <v>38</v>
      </c>
      <c r="D4" s="11">
        <v>558</v>
      </c>
      <c r="E4" s="11">
        <v>433</v>
      </c>
      <c r="F4" s="11">
        <v>1</v>
      </c>
      <c r="G4" s="11">
        <v>172</v>
      </c>
      <c r="H4" s="11">
        <v>21</v>
      </c>
      <c r="I4" s="11">
        <v>6</v>
      </c>
      <c r="J4" s="11">
        <v>1</v>
      </c>
      <c r="K4" s="11"/>
      <c r="L4" s="11">
        <v>0</v>
      </c>
      <c r="M4" s="11">
        <v>0</v>
      </c>
      <c r="N4" s="11">
        <v>14</v>
      </c>
      <c r="O4" s="11">
        <v>15</v>
      </c>
      <c r="P4" s="11"/>
      <c r="Q4" s="41"/>
      <c r="R4" s="42"/>
      <c r="S4" s="42"/>
      <c r="T4" s="42"/>
      <c r="U4" s="25">
        <f t="shared" ref="U4:U29" si="0">SUM(C4:P4)-D4</f>
        <v>701</v>
      </c>
      <c r="V4" s="25">
        <f t="shared" ref="V4:V31" si="1">SUM(B4:P4)-D4</f>
        <v>936</v>
      </c>
      <c r="W4" s="26">
        <f t="shared" ref="W4:W28" si="2">B4+C4+E4+F4+G4*2+H4*3+I4*3+J4+K4*6+L4*5+M4+N4*5+O4*5+P4+Q4</f>
        <v>1278</v>
      </c>
      <c r="X4" s="27">
        <f t="shared" ref="X4:X30" si="3">C4*$C$3+D4*$D$3+E4*$E$3+F4*$F$3+G4*$G$3+H4*$H$3+I4*$I$3+J4*$J$3+K4*$K$3+L4*$L$3+M4*$M$3+N4*$N$3+O4*$O$3+P4*$P$3</f>
        <v>108843</v>
      </c>
      <c r="Y4" s="27">
        <f t="shared" ref="Y4:Y31" si="4">B4*99+C4*$C$3+D4*$D$3+E4*$E$3+F4*$F$3+G4*$G$3+H4*$H$3+I4*$I$3+J4*$J$3+K4*$K$3+L4*$L$3+M4*$M$3+N4*$N$3+O4*$O$3+P4*$P$3</f>
        <v>132108</v>
      </c>
    </row>
    <row r="5" s="30" customFormat="1" ht="21" customHeight="1" spans="1:25">
      <c r="A5" s="13" t="s">
        <v>28</v>
      </c>
      <c r="B5" s="11">
        <v>546</v>
      </c>
      <c r="C5" s="11"/>
      <c r="D5" s="11">
        <v>784</v>
      </c>
      <c r="E5" s="11">
        <v>730</v>
      </c>
      <c r="F5" s="11"/>
      <c r="G5" s="11">
        <v>63</v>
      </c>
      <c r="H5" s="11"/>
      <c r="I5" s="11"/>
      <c r="J5" s="11">
        <v>32</v>
      </c>
      <c r="K5" s="11"/>
      <c r="L5" s="11"/>
      <c r="M5" s="11"/>
      <c r="N5" s="11"/>
      <c r="O5" s="11"/>
      <c r="P5" s="11"/>
      <c r="Q5" s="40"/>
      <c r="R5" s="11"/>
      <c r="S5" s="40"/>
      <c r="T5" s="40"/>
      <c r="U5" s="25">
        <f t="shared" si="0"/>
        <v>825</v>
      </c>
      <c r="V5" s="25">
        <f t="shared" si="1"/>
        <v>1371</v>
      </c>
      <c r="W5" s="26">
        <f t="shared" si="2"/>
        <v>1434</v>
      </c>
      <c r="X5" s="27">
        <f t="shared" si="3"/>
        <v>94974</v>
      </c>
      <c r="Y5" s="27">
        <f t="shared" si="4"/>
        <v>149028</v>
      </c>
    </row>
    <row r="6" s="30" customFormat="1" ht="21" customHeight="1" spans="1:25">
      <c r="A6" s="13" t="s">
        <v>29</v>
      </c>
      <c r="B6" s="11">
        <v>230</v>
      </c>
      <c r="C6" s="11">
        <v>134</v>
      </c>
      <c r="D6" s="11">
        <v>831</v>
      </c>
      <c r="E6" s="11">
        <v>495</v>
      </c>
      <c r="F6" s="11"/>
      <c r="G6" s="11">
        <v>218</v>
      </c>
      <c r="H6" s="11"/>
      <c r="I6" s="11"/>
      <c r="J6" s="11">
        <v>3</v>
      </c>
      <c r="K6" s="11"/>
      <c r="L6" s="11"/>
      <c r="M6" s="11"/>
      <c r="N6" s="11"/>
      <c r="O6" s="11"/>
      <c r="P6" s="11"/>
      <c r="Q6" s="40"/>
      <c r="R6" s="11"/>
      <c r="S6" s="40"/>
      <c r="T6" s="40"/>
      <c r="U6" s="25">
        <f t="shared" si="0"/>
        <v>850</v>
      </c>
      <c r="V6" s="25">
        <f t="shared" si="1"/>
        <v>1080</v>
      </c>
      <c r="W6" s="26">
        <f t="shared" si="2"/>
        <v>1298</v>
      </c>
      <c r="X6" s="27">
        <f t="shared" si="3"/>
        <v>128980.5</v>
      </c>
      <c r="Y6" s="27">
        <f t="shared" si="4"/>
        <v>151750.5</v>
      </c>
    </row>
    <row r="7" s="30" customFormat="1" ht="21" customHeight="1" spans="1:25">
      <c r="A7" s="13" t="s">
        <v>30</v>
      </c>
      <c r="B7" s="11">
        <v>446</v>
      </c>
      <c r="C7" s="11">
        <v>182</v>
      </c>
      <c r="D7" s="11">
        <v>1087</v>
      </c>
      <c r="E7" s="11">
        <v>651</v>
      </c>
      <c r="F7" s="11"/>
      <c r="G7" s="11">
        <v>253</v>
      </c>
      <c r="H7" s="11"/>
      <c r="I7" s="11"/>
      <c r="J7" s="11">
        <v>10</v>
      </c>
      <c r="K7" s="11"/>
      <c r="L7" s="11"/>
      <c r="M7" s="11"/>
      <c r="N7" s="11"/>
      <c r="O7" s="11"/>
      <c r="P7" s="11"/>
      <c r="Q7" s="40"/>
      <c r="R7" s="11"/>
      <c r="S7" s="40"/>
      <c r="T7" s="40"/>
      <c r="U7" s="25">
        <f t="shared" si="0"/>
        <v>1096</v>
      </c>
      <c r="V7" s="25">
        <f t="shared" si="1"/>
        <v>1542</v>
      </c>
      <c r="W7" s="26">
        <f t="shared" si="2"/>
        <v>1795</v>
      </c>
      <c r="X7" s="27">
        <f t="shared" si="3"/>
        <v>161793.5</v>
      </c>
      <c r="Y7" s="27">
        <f t="shared" si="4"/>
        <v>205947.5</v>
      </c>
    </row>
    <row r="8" s="30" customFormat="1" ht="21" customHeight="1" spans="1:25">
      <c r="A8" s="13" t="s">
        <v>31</v>
      </c>
      <c r="B8" s="11">
        <v>418</v>
      </c>
      <c r="C8" s="11">
        <v>280</v>
      </c>
      <c r="D8" s="11">
        <v>1449</v>
      </c>
      <c r="E8" s="11">
        <v>772</v>
      </c>
      <c r="F8" s="11">
        <v>0</v>
      </c>
      <c r="G8" s="11">
        <v>440</v>
      </c>
      <c r="H8" s="11">
        <v>0</v>
      </c>
      <c r="I8" s="11">
        <v>0</v>
      </c>
      <c r="J8" s="11">
        <v>9</v>
      </c>
      <c r="K8" s="11"/>
      <c r="L8" s="11"/>
      <c r="M8" s="11"/>
      <c r="N8" s="11"/>
      <c r="O8" s="11"/>
      <c r="P8" s="11"/>
      <c r="Q8" s="40"/>
      <c r="R8" s="11"/>
      <c r="S8" s="40"/>
      <c r="T8" s="40"/>
      <c r="U8" s="25">
        <f t="shared" si="0"/>
        <v>1501</v>
      </c>
      <c r="V8" s="25">
        <f t="shared" si="1"/>
        <v>1919</v>
      </c>
      <c r="W8" s="26">
        <f t="shared" si="2"/>
        <v>2359</v>
      </c>
      <c r="X8" s="27">
        <f t="shared" si="3"/>
        <v>238012.5</v>
      </c>
      <c r="Y8" s="27">
        <f t="shared" si="4"/>
        <v>279394.5</v>
      </c>
    </row>
    <row r="9" s="30" customFormat="1" ht="21" customHeight="1" spans="1:25">
      <c r="A9" s="13" t="s">
        <v>32</v>
      </c>
      <c r="B9" s="11">
        <v>167</v>
      </c>
      <c r="C9" s="11"/>
      <c r="D9" s="11">
        <v>526</v>
      </c>
      <c r="E9" s="11">
        <v>474</v>
      </c>
      <c r="F9" s="11"/>
      <c r="G9" s="11">
        <v>48</v>
      </c>
      <c r="H9" s="11"/>
      <c r="I9" s="11"/>
      <c r="J9" s="11">
        <v>10</v>
      </c>
      <c r="K9" s="11"/>
      <c r="L9" s="11"/>
      <c r="M9" s="11"/>
      <c r="N9" s="11"/>
      <c r="O9" s="11"/>
      <c r="P9" s="11"/>
      <c r="Q9" s="40"/>
      <c r="R9" s="11"/>
      <c r="S9" s="40"/>
      <c r="T9" s="40"/>
      <c r="U9" s="25">
        <f t="shared" si="0"/>
        <v>532</v>
      </c>
      <c r="V9" s="25">
        <f t="shared" si="1"/>
        <v>699</v>
      </c>
      <c r="W9" s="26">
        <f t="shared" si="2"/>
        <v>747</v>
      </c>
      <c r="X9" s="27">
        <f t="shared" si="3"/>
        <v>63041</v>
      </c>
      <c r="Y9" s="27">
        <f t="shared" si="4"/>
        <v>79574</v>
      </c>
    </row>
    <row r="10" s="30" customFormat="1" ht="21" customHeight="1" spans="1:25">
      <c r="A10" s="13" t="s">
        <v>33</v>
      </c>
      <c r="B10" s="11">
        <v>328</v>
      </c>
      <c r="C10" s="11">
        <v>2</v>
      </c>
      <c r="D10" s="11">
        <v>552</v>
      </c>
      <c r="E10" s="11">
        <v>518</v>
      </c>
      <c r="F10" s="11">
        <v>0</v>
      </c>
      <c r="G10" s="11">
        <v>59</v>
      </c>
      <c r="H10" s="11">
        <v>0</v>
      </c>
      <c r="I10" s="11">
        <v>0</v>
      </c>
      <c r="J10" s="11">
        <v>12</v>
      </c>
      <c r="K10" s="11"/>
      <c r="L10" s="11">
        <v>47</v>
      </c>
      <c r="M10" s="11"/>
      <c r="N10" s="11"/>
      <c r="O10" s="11"/>
      <c r="P10" s="11"/>
      <c r="Q10" s="40"/>
      <c r="R10" s="11"/>
      <c r="S10" s="40"/>
      <c r="T10" s="40"/>
      <c r="U10" s="25">
        <f t="shared" si="0"/>
        <v>638</v>
      </c>
      <c r="V10" s="25">
        <f t="shared" si="1"/>
        <v>966</v>
      </c>
      <c r="W10" s="26">
        <f t="shared" si="2"/>
        <v>1213</v>
      </c>
      <c r="X10" s="27">
        <f t="shared" si="3"/>
        <v>72369</v>
      </c>
      <c r="Y10" s="27">
        <f t="shared" si="4"/>
        <v>104841</v>
      </c>
    </row>
    <row r="11" s="30" customFormat="1" ht="21" customHeight="1" spans="1:25">
      <c r="A11" s="13" t="s">
        <v>34</v>
      </c>
      <c r="B11" s="11">
        <v>183</v>
      </c>
      <c r="C11" s="11">
        <v>7</v>
      </c>
      <c r="D11" s="11">
        <v>148</v>
      </c>
      <c r="E11" s="11">
        <v>107</v>
      </c>
      <c r="F11" s="11"/>
      <c r="G11" s="11">
        <v>32</v>
      </c>
      <c r="H11" s="11"/>
      <c r="I11" s="11"/>
      <c r="J11" s="11">
        <v>2</v>
      </c>
      <c r="K11" s="11"/>
      <c r="L11" s="11">
        <v>4</v>
      </c>
      <c r="M11" s="11"/>
      <c r="N11" s="11"/>
      <c r="O11" s="11"/>
      <c r="P11" s="11"/>
      <c r="Q11" s="40"/>
      <c r="R11" s="11"/>
      <c r="S11" s="40"/>
      <c r="T11" s="40"/>
      <c r="U11" s="25">
        <f t="shared" si="0"/>
        <v>152</v>
      </c>
      <c r="V11" s="25">
        <f t="shared" si="1"/>
        <v>335</v>
      </c>
      <c r="W11" s="26">
        <f t="shared" si="2"/>
        <v>383</v>
      </c>
      <c r="X11" s="27">
        <f t="shared" si="3"/>
        <v>21021</v>
      </c>
      <c r="Y11" s="27">
        <f t="shared" si="4"/>
        <v>39138</v>
      </c>
    </row>
    <row r="12" s="30" customFormat="1" ht="21" customHeight="1" spans="1:25">
      <c r="A12" s="13" t="s">
        <v>35</v>
      </c>
      <c r="B12" s="11">
        <v>119</v>
      </c>
      <c r="C12" s="11">
        <v>18</v>
      </c>
      <c r="D12" s="11">
        <v>408</v>
      </c>
      <c r="E12" s="11">
        <v>316</v>
      </c>
      <c r="F12" s="11">
        <v>0</v>
      </c>
      <c r="G12" s="11">
        <v>73</v>
      </c>
      <c r="H12" s="11">
        <v>3</v>
      </c>
      <c r="I12" s="11">
        <v>9</v>
      </c>
      <c r="J12" s="11">
        <v>0</v>
      </c>
      <c r="K12" s="11"/>
      <c r="L12" s="11">
        <v>7</v>
      </c>
      <c r="M12" s="11"/>
      <c r="N12" s="11"/>
      <c r="O12" s="11"/>
      <c r="P12" s="11"/>
      <c r="Q12" s="40"/>
      <c r="R12" s="11"/>
      <c r="S12" s="40"/>
      <c r="T12" s="40"/>
      <c r="U12" s="25">
        <f t="shared" si="0"/>
        <v>426</v>
      </c>
      <c r="V12" s="25">
        <f t="shared" si="1"/>
        <v>545</v>
      </c>
      <c r="W12" s="26">
        <f t="shared" si="2"/>
        <v>670</v>
      </c>
      <c r="X12" s="27">
        <f t="shared" si="3"/>
        <v>58911</v>
      </c>
      <c r="Y12" s="27">
        <f t="shared" si="4"/>
        <v>70692</v>
      </c>
    </row>
    <row r="13" s="30" customFormat="1" ht="21" customHeight="1" spans="1:25">
      <c r="A13" s="13" t="s">
        <v>36</v>
      </c>
      <c r="B13" s="11">
        <v>401</v>
      </c>
      <c r="C13" s="11">
        <v>128</v>
      </c>
      <c r="D13" s="11">
        <v>838</v>
      </c>
      <c r="E13" s="11">
        <v>480</v>
      </c>
      <c r="F13" s="11">
        <v>2</v>
      </c>
      <c r="G13" s="11">
        <v>202</v>
      </c>
      <c r="H13" s="11">
        <v>17</v>
      </c>
      <c r="I13" s="11">
        <v>17</v>
      </c>
      <c r="J13" s="11">
        <v>8</v>
      </c>
      <c r="K13" s="11"/>
      <c r="L13" s="11">
        <v>0</v>
      </c>
      <c r="M13" s="11">
        <v>0</v>
      </c>
      <c r="N13" s="11">
        <v>3</v>
      </c>
      <c r="O13" s="11"/>
      <c r="P13" s="11"/>
      <c r="Q13" s="40"/>
      <c r="R13" s="11"/>
      <c r="S13" s="40"/>
      <c r="T13" s="40"/>
      <c r="U13" s="25">
        <f t="shared" si="0"/>
        <v>857</v>
      </c>
      <c r="V13" s="25">
        <f t="shared" si="1"/>
        <v>1258</v>
      </c>
      <c r="W13" s="26">
        <f t="shared" si="2"/>
        <v>1540</v>
      </c>
      <c r="X13" s="27">
        <f t="shared" si="3"/>
        <v>133464</v>
      </c>
      <c r="Y13" s="27">
        <f t="shared" si="4"/>
        <v>173163</v>
      </c>
    </row>
    <row r="14" s="30" customFormat="1" ht="21" customHeight="1" spans="1:25">
      <c r="A14" s="13" t="s">
        <v>37</v>
      </c>
      <c r="B14" s="11">
        <v>333</v>
      </c>
      <c r="C14" s="11">
        <v>3</v>
      </c>
      <c r="D14" s="11">
        <v>581</v>
      </c>
      <c r="E14" s="11">
        <v>548</v>
      </c>
      <c r="F14" s="11">
        <v>0</v>
      </c>
      <c r="G14" s="11">
        <v>29</v>
      </c>
      <c r="H14" s="11">
        <v>1</v>
      </c>
      <c r="I14" s="11">
        <v>0</v>
      </c>
      <c r="J14" s="11">
        <v>22</v>
      </c>
      <c r="K14" s="11"/>
      <c r="L14" s="11">
        <v>27</v>
      </c>
      <c r="M14" s="11">
        <v>0</v>
      </c>
      <c r="N14" s="11">
        <v>0</v>
      </c>
      <c r="O14" s="11">
        <v>68</v>
      </c>
      <c r="P14" s="11"/>
      <c r="Q14" s="40"/>
      <c r="R14" s="11"/>
      <c r="S14" s="40"/>
      <c r="T14" s="40"/>
      <c r="U14" s="25">
        <f t="shared" si="0"/>
        <v>698</v>
      </c>
      <c r="V14" s="25">
        <f t="shared" si="1"/>
        <v>1031</v>
      </c>
      <c r="W14" s="26">
        <f t="shared" si="2"/>
        <v>1442</v>
      </c>
      <c r="X14" s="27">
        <f t="shared" si="3"/>
        <v>77634.5</v>
      </c>
      <c r="Y14" s="27">
        <f t="shared" si="4"/>
        <v>110601.5</v>
      </c>
    </row>
    <row r="15" s="30" customFormat="1" ht="21" customHeight="1" spans="1:25">
      <c r="A15" s="13" t="s">
        <v>38</v>
      </c>
      <c r="B15" s="11">
        <v>420</v>
      </c>
      <c r="C15" s="11">
        <v>9</v>
      </c>
      <c r="D15" s="11">
        <v>651</v>
      </c>
      <c r="E15" s="11">
        <v>565</v>
      </c>
      <c r="F15" s="11">
        <v>0</v>
      </c>
      <c r="G15" s="11">
        <v>58</v>
      </c>
      <c r="H15" s="11">
        <v>0</v>
      </c>
      <c r="I15" s="11">
        <v>0</v>
      </c>
      <c r="J15" s="11">
        <v>6</v>
      </c>
      <c r="K15" s="11"/>
      <c r="L15" s="11">
        <v>18</v>
      </c>
      <c r="M15" s="11"/>
      <c r="N15" s="11"/>
      <c r="O15" s="11"/>
      <c r="P15" s="11"/>
      <c r="Q15" s="40"/>
      <c r="R15" s="11"/>
      <c r="S15" s="40"/>
      <c r="T15" s="40"/>
      <c r="U15" s="25">
        <f t="shared" si="0"/>
        <v>656</v>
      </c>
      <c r="V15" s="25">
        <f t="shared" si="1"/>
        <v>1076</v>
      </c>
      <c r="W15" s="26">
        <f t="shared" si="2"/>
        <v>1206</v>
      </c>
      <c r="X15" s="27">
        <f t="shared" si="3"/>
        <v>76939.5</v>
      </c>
      <c r="Y15" s="27">
        <f t="shared" si="4"/>
        <v>118519.5</v>
      </c>
    </row>
    <row r="16" s="30" customFormat="1" ht="21" customHeight="1" spans="1:25">
      <c r="A16" s="13" t="s">
        <v>39</v>
      </c>
      <c r="B16" s="11">
        <v>180</v>
      </c>
      <c r="C16" s="11">
        <v>91</v>
      </c>
      <c r="D16" s="11">
        <v>850</v>
      </c>
      <c r="E16" s="11">
        <v>613</v>
      </c>
      <c r="F16" s="11"/>
      <c r="G16" s="11">
        <v>192</v>
      </c>
      <c r="H16" s="11">
        <v>1</v>
      </c>
      <c r="I16" s="11"/>
      <c r="J16" s="11">
        <v>12</v>
      </c>
      <c r="K16" s="11"/>
      <c r="L16" s="11">
        <v>10</v>
      </c>
      <c r="M16" s="11"/>
      <c r="N16" s="11"/>
      <c r="O16" s="11"/>
      <c r="P16" s="11"/>
      <c r="Q16" s="40"/>
      <c r="R16" s="11"/>
      <c r="S16" s="40"/>
      <c r="T16" s="40"/>
      <c r="U16" s="25">
        <f t="shared" si="0"/>
        <v>919</v>
      </c>
      <c r="V16" s="25">
        <f t="shared" si="1"/>
        <v>1099</v>
      </c>
      <c r="W16" s="26">
        <f t="shared" si="2"/>
        <v>1333</v>
      </c>
      <c r="X16" s="27">
        <f t="shared" si="3"/>
        <v>129362</v>
      </c>
      <c r="Y16" s="27">
        <f t="shared" si="4"/>
        <v>147182</v>
      </c>
    </row>
    <row r="17" s="30" customFormat="1" ht="21" customHeight="1" spans="1:25">
      <c r="A17" s="13" t="s">
        <v>40</v>
      </c>
      <c r="B17" s="11">
        <v>184</v>
      </c>
      <c r="C17" s="11">
        <v>13</v>
      </c>
      <c r="D17" s="11">
        <v>763</v>
      </c>
      <c r="E17" s="11">
        <v>645</v>
      </c>
      <c r="F17" s="11">
        <v>0</v>
      </c>
      <c r="G17" s="11">
        <v>113</v>
      </c>
      <c r="H17" s="11">
        <v>0</v>
      </c>
      <c r="I17" s="40">
        <v>0</v>
      </c>
      <c r="J17" s="11">
        <v>19</v>
      </c>
      <c r="K17" s="11"/>
      <c r="L17" s="11">
        <v>25</v>
      </c>
      <c r="M17" s="11"/>
      <c r="N17" s="11"/>
      <c r="O17" s="11"/>
      <c r="P17" s="11"/>
      <c r="Q17" s="40"/>
      <c r="R17" s="11"/>
      <c r="S17" s="40"/>
      <c r="T17" s="40"/>
      <c r="U17" s="25">
        <f t="shared" si="0"/>
        <v>815</v>
      </c>
      <c r="V17" s="25">
        <f t="shared" si="1"/>
        <v>999</v>
      </c>
      <c r="W17" s="26">
        <f t="shared" si="2"/>
        <v>1212</v>
      </c>
      <c r="X17" s="27">
        <f t="shared" si="3"/>
        <v>101469.5</v>
      </c>
      <c r="Y17" s="27">
        <f t="shared" si="4"/>
        <v>119685.5</v>
      </c>
    </row>
    <row r="18" s="30" customFormat="1" ht="21" customHeight="1" spans="1:25">
      <c r="A18" s="13" t="s">
        <v>41</v>
      </c>
      <c r="B18" s="11">
        <v>269</v>
      </c>
      <c r="C18" s="11">
        <v>44</v>
      </c>
      <c r="D18" s="11">
        <v>411</v>
      </c>
      <c r="E18" s="11">
        <v>289</v>
      </c>
      <c r="F18" s="11">
        <v>0</v>
      </c>
      <c r="G18" s="11">
        <v>90</v>
      </c>
      <c r="H18" s="11">
        <v>0</v>
      </c>
      <c r="I18" s="40">
        <v>0</v>
      </c>
      <c r="J18" s="11">
        <v>1</v>
      </c>
      <c r="K18" s="11"/>
      <c r="L18" s="11">
        <v>14</v>
      </c>
      <c r="M18" s="11">
        <v>0</v>
      </c>
      <c r="N18" s="11"/>
      <c r="O18" s="11"/>
      <c r="P18" s="11"/>
      <c r="Q18" s="40"/>
      <c r="R18" s="11"/>
      <c r="S18" s="40"/>
      <c r="T18" s="40"/>
      <c r="U18" s="25">
        <f t="shared" si="0"/>
        <v>438</v>
      </c>
      <c r="V18" s="25">
        <f t="shared" si="1"/>
        <v>707</v>
      </c>
      <c r="W18" s="26">
        <f t="shared" si="2"/>
        <v>853</v>
      </c>
      <c r="X18" s="27">
        <f t="shared" si="3"/>
        <v>60956.5</v>
      </c>
      <c r="Y18" s="27">
        <f t="shared" si="4"/>
        <v>87587.5</v>
      </c>
    </row>
    <row r="19" s="30" customFormat="1" ht="21" customHeight="1" spans="1:25">
      <c r="A19" s="13" t="s">
        <v>42</v>
      </c>
      <c r="B19" s="11">
        <v>374</v>
      </c>
      <c r="C19" s="11">
        <v>18</v>
      </c>
      <c r="D19" s="11">
        <v>722</v>
      </c>
      <c r="E19" s="11">
        <v>648</v>
      </c>
      <c r="F19" s="11">
        <v>2</v>
      </c>
      <c r="G19" s="11">
        <v>58</v>
      </c>
      <c r="H19" s="11">
        <v>0</v>
      </c>
      <c r="I19" s="40">
        <v>0</v>
      </c>
      <c r="J19" s="11">
        <v>21</v>
      </c>
      <c r="K19" s="11"/>
      <c r="L19" s="11">
        <v>5</v>
      </c>
      <c r="M19" s="11"/>
      <c r="N19" s="11"/>
      <c r="O19" s="11"/>
      <c r="P19" s="11"/>
      <c r="Q19" s="40"/>
      <c r="R19" s="11"/>
      <c r="S19" s="40"/>
      <c r="T19" s="40"/>
      <c r="U19" s="25">
        <f t="shared" si="0"/>
        <v>752</v>
      </c>
      <c r="V19" s="25">
        <f t="shared" si="1"/>
        <v>1126</v>
      </c>
      <c r="W19" s="26">
        <f t="shared" si="2"/>
        <v>1204</v>
      </c>
      <c r="X19" s="27">
        <f t="shared" si="3"/>
        <v>87241</v>
      </c>
      <c r="Y19" s="27">
        <f t="shared" si="4"/>
        <v>124267</v>
      </c>
    </row>
    <row r="20" s="30" customFormat="1" ht="21" customHeight="1" spans="1:25">
      <c r="A20" s="13" t="s">
        <v>43</v>
      </c>
      <c r="B20" s="11">
        <v>474</v>
      </c>
      <c r="C20" s="11">
        <v>6</v>
      </c>
      <c r="D20" s="11">
        <v>773</v>
      </c>
      <c r="E20" s="11">
        <v>679</v>
      </c>
      <c r="F20" s="11">
        <v>0</v>
      </c>
      <c r="G20" s="11">
        <v>101</v>
      </c>
      <c r="H20" s="11">
        <v>0</v>
      </c>
      <c r="I20" s="40">
        <v>0</v>
      </c>
      <c r="J20" s="11">
        <v>18</v>
      </c>
      <c r="K20" s="11"/>
      <c r="L20" s="11">
        <v>22</v>
      </c>
      <c r="M20" s="11"/>
      <c r="N20" s="11"/>
      <c r="O20" s="11"/>
      <c r="P20" s="11"/>
      <c r="Q20" s="40"/>
      <c r="R20" s="11"/>
      <c r="S20" s="40"/>
      <c r="T20" s="40"/>
      <c r="U20" s="25">
        <f t="shared" si="0"/>
        <v>826</v>
      </c>
      <c r="V20" s="25">
        <f t="shared" si="1"/>
        <v>1300</v>
      </c>
      <c r="W20" s="26">
        <f t="shared" si="2"/>
        <v>1489</v>
      </c>
      <c r="X20" s="27">
        <f t="shared" si="3"/>
        <v>100644.5</v>
      </c>
      <c r="Y20" s="27">
        <f t="shared" si="4"/>
        <v>147570.5</v>
      </c>
    </row>
    <row r="21" s="30" customFormat="1" ht="21" customHeight="1" spans="1:25">
      <c r="A21" s="13" t="s">
        <v>44</v>
      </c>
      <c r="B21" s="11">
        <v>260</v>
      </c>
      <c r="C21" s="11">
        <v>1</v>
      </c>
      <c r="D21" s="11">
        <v>923</v>
      </c>
      <c r="E21" s="11">
        <v>872</v>
      </c>
      <c r="F21" s="11">
        <v>0</v>
      </c>
      <c r="G21" s="11">
        <v>75</v>
      </c>
      <c r="H21" s="11">
        <v>0</v>
      </c>
      <c r="I21" s="40">
        <v>0</v>
      </c>
      <c r="J21" s="11">
        <v>42</v>
      </c>
      <c r="K21" s="11"/>
      <c r="L21" s="11">
        <v>37</v>
      </c>
      <c r="M21" s="11"/>
      <c r="N21" s="11"/>
      <c r="O21" s="11"/>
      <c r="P21" s="11"/>
      <c r="Q21" s="40"/>
      <c r="R21" s="11"/>
      <c r="S21" s="40"/>
      <c r="T21" s="40"/>
      <c r="U21" s="25">
        <f t="shared" si="0"/>
        <v>1027</v>
      </c>
      <c r="V21" s="25">
        <f t="shared" si="1"/>
        <v>1287</v>
      </c>
      <c r="W21" s="26">
        <f t="shared" si="2"/>
        <v>1510</v>
      </c>
      <c r="X21" s="27">
        <f t="shared" si="3"/>
        <v>114867.5</v>
      </c>
      <c r="Y21" s="27">
        <f t="shared" si="4"/>
        <v>140607.5</v>
      </c>
    </row>
    <row r="22" s="30" customFormat="1" ht="21" customHeight="1" spans="1:25">
      <c r="A22" s="13" t="s">
        <v>45</v>
      </c>
      <c r="B22" s="11"/>
      <c r="C22" s="11"/>
      <c r="D22" s="11"/>
      <c r="E22" s="11"/>
      <c r="F22" s="11"/>
      <c r="G22" s="11"/>
      <c r="H22" s="11"/>
      <c r="I22" s="40"/>
      <c r="J22" s="11"/>
      <c r="K22" s="11"/>
      <c r="L22" s="11"/>
      <c r="M22" s="11"/>
      <c r="N22" s="11"/>
      <c r="O22" s="11"/>
      <c r="P22" s="11"/>
      <c r="Q22" s="40"/>
      <c r="R22" s="11"/>
      <c r="S22" s="40"/>
      <c r="T22" s="40"/>
      <c r="U22" s="25">
        <f t="shared" si="0"/>
        <v>0</v>
      </c>
      <c r="V22" s="25">
        <f t="shared" si="1"/>
        <v>0</v>
      </c>
      <c r="W22" s="26">
        <f t="shared" si="2"/>
        <v>0</v>
      </c>
      <c r="X22" s="27">
        <f t="shared" si="3"/>
        <v>0</v>
      </c>
      <c r="Y22" s="27">
        <f t="shared" si="4"/>
        <v>0</v>
      </c>
    </row>
    <row r="23" s="30" customFormat="1" ht="21" customHeight="1" spans="1:25">
      <c r="A23" s="13" t="s">
        <v>46</v>
      </c>
      <c r="B23" s="11">
        <v>526</v>
      </c>
      <c r="C23" s="11">
        <v>9</v>
      </c>
      <c r="D23" s="11">
        <v>573</v>
      </c>
      <c r="E23" s="11">
        <v>547</v>
      </c>
      <c r="F23" s="11">
        <v>0</v>
      </c>
      <c r="G23" s="11">
        <v>46</v>
      </c>
      <c r="H23" s="11">
        <v>0</v>
      </c>
      <c r="I23" s="40">
        <v>0</v>
      </c>
      <c r="J23" s="11">
        <v>18</v>
      </c>
      <c r="K23" s="11"/>
      <c r="L23" s="11">
        <v>37</v>
      </c>
      <c r="M23" s="11">
        <v>1</v>
      </c>
      <c r="N23" s="11"/>
      <c r="O23" s="11"/>
      <c r="P23" s="11"/>
      <c r="Q23" s="40"/>
      <c r="R23" s="11"/>
      <c r="S23" s="40"/>
      <c r="T23" s="40"/>
      <c r="U23" s="25">
        <f t="shared" si="0"/>
        <v>658</v>
      </c>
      <c r="V23" s="25">
        <f t="shared" si="1"/>
        <v>1184</v>
      </c>
      <c r="W23" s="26">
        <f t="shared" si="2"/>
        <v>1378</v>
      </c>
      <c r="X23" s="27">
        <f t="shared" si="3"/>
        <v>72875</v>
      </c>
      <c r="Y23" s="27">
        <f t="shared" si="4"/>
        <v>124949</v>
      </c>
    </row>
    <row r="24" s="30" customFormat="1" ht="21" customHeight="1" spans="1:25">
      <c r="A24" s="13" t="s">
        <v>47</v>
      </c>
      <c r="B24" s="11">
        <v>430</v>
      </c>
      <c r="C24" s="11">
        <v>7</v>
      </c>
      <c r="D24" s="11">
        <v>756</v>
      </c>
      <c r="E24" s="11">
        <v>710</v>
      </c>
      <c r="F24" s="11">
        <v>0</v>
      </c>
      <c r="G24" s="11">
        <v>60</v>
      </c>
      <c r="H24" s="11">
        <v>0</v>
      </c>
      <c r="I24" s="40">
        <v>0</v>
      </c>
      <c r="J24" s="11">
        <v>14</v>
      </c>
      <c r="K24" s="11"/>
      <c r="L24" s="11">
        <v>32</v>
      </c>
      <c r="M24" s="11"/>
      <c r="N24" s="11"/>
      <c r="O24" s="11"/>
      <c r="P24" s="11"/>
      <c r="Q24" s="40"/>
      <c r="R24" s="11"/>
      <c r="S24" s="40"/>
      <c r="T24" s="40"/>
      <c r="U24" s="25">
        <f t="shared" si="0"/>
        <v>823</v>
      </c>
      <c r="V24" s="25">
        <f t="shared" si="1"/>
        <v>1253</v>
      </c>
      <c r="W24" s="26">
        <f t="shared" si="2"/>
        <v>1441</v>
      </c>
      <c r="X24" s="27">
        <f t="shared" si="3"/>
        <v>93038</v>
      </c>
      <c r="Y24" s="27">
        <f t="shared" si="4"/>
        <v>135608</v>
      </c>
    </row>
    <row r="25" s="30" customFormat="1" ht="21" customHeight="1" spans="1:25">
      <c r="A25" s="13" t="s">
        <v>49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 t="s">
        <v>56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 t="s">
        <v>48</v>
      </c>
      <c r="B27" s="11"/>
      <c r="C27" s="11"/>
      <c r="D27" s="11"/>
      <c r="E27" s="11"/>
      <c r="F27" s="11"/>
      <c r="G27" s="11"/>
      <c r="H27" s="11"/>
      <c r="I27" s="40"/>
      <c r="J27" s="11"/>
      <c r="K27" s="11"/>
      <c r="L27" s="11"/>
      <c r="M27" s="11"/>
      <c r="N27" s="11"/>
      <c r="O27" s="11"/>
      <c r="P27" s="11"/>
      <c r="Q27" s="40"/>
      <c r="R27" s="40"/>
      <c r="S27" s="40"/>
      <c r="T27" s="40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61</v>
      </c>
      <c r="B28" s="11">
        <v>0</v>
      </c>
      <c r="C28" s="11">
        <v>7</v>
      </c>
      <c r="D28" s="11">
        <v>22</v>
      </c>
      <c r="E28" s="11">
        <v>8</v>
      </c>
      <c r="F28" s="11">
        <v>0</v>
      </c>
      <c r="G28" s="11">
        <v>7</v>
      </c>
      <c r="H28" s="11">
        <v>0</v>
      </c>
      <c r="I28" s="35"/>
      <c r="J28" s="11"/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22</v>
      </c>
      <c r="V28" s="25">
        <f t="shared" si="1"/>
        <v>22</v>
      </c>
      <c r="W28" s="26">
        <f t="shared" si="2"/>
        <v>29</v>
      </c>
      <c r="X28" s="27">
        <f t="shared" si="3"/>
        <v>3685</v>
      </c>
      <c r="Y28" s="27">
        <f t="shared" si="4"/>
        <v>3685</v>
      </c>
    </row>
    <row r="29" s="30" customFormat="1" ht="21" customHeight="1" spans="1:25">
      <c r="A29" s="33" t="s">
        <v>51</v>
      </c>
      <c r="B29" s="11">
        <v>366</v>
      </c>
      <c r="C29" s="11">
        <v>87</v>
      </c>
      <c r="D29" s="11">
        <v>1060</v>
      </c>
      <c r="E29" s="11">
        <v>699</v>
      </c>
      <c r="F29" s="34">
        <v>2</v>
      </c>
      <c r="G29" s="11">
        <v>232</v>
      </c>
      <c r="H29" s="34">
        <v>0</v>
      </c>
      <c r="I29" s="34">
        <v>0</v>
      </c>
      <c r="J29" s="11">
        <v>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1020</v>
      </c>
      <c r="V29" s="25">
        <f t="shared" si="1"/>
        <v>1386</v>
      </c>
      <c r="W29" s="26">
        <v>0</v>
      </c>
      <c r="X29" s="28">
        <f t="shared" si="3"/>
        <v>147873</v>
      </c>
      <c r="Y29" s="28">
        <f t="shared" si="4"/>
        <v>184107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6889</v>
      </c>
      <c r="C31" s="36">
        <f t="shared" si="5"/>
        <v>1084</v>
      </c>
      <c r="D31" s="36">
        <f t="shared" si="5"/>
        <v>15266</v>
      </c>
      <c r="E31" s="36">
        <f t="shared" si="5"/>
        <v>11799</v>
      </c>
      <c r="F31" s="36">
        <f t="shared" si="5"/>
        <v>7</v>
      </c>
      <c r="G31" s="36">
        <f t="shared" si="5"/>
        <v>2621</v>
      </c>
      <c r="H31" s="36">
        <f t="shared" si="5"/>
        <v>43</v>
      </c>
      <c r="I31" s="36">
        <f t="shared" si="5"/>
        <v>32</v>
      </c>
      <c r="J31" s="36">
        <f t="shared" si="5"/>
        <v>260</v>
      </c>
      <c r="K31" s="36">
        <f t="shared" si="5"/>
        <v>0</v>
      </c>
      <c r="L31" s="36">
        <f t="shared" si="5"/>
        <v>285</v>
      </c>
      <c r="M31" s="36">
        <f t="shared" si="5"/>
        <v>1</v>
      </c>
      <c r="N31" s="36">
        <f t="shared" si="5"/>
        <v>17</v>
      </c>
      <c r="O31" s="36">
        <f t="shared" si="5"/>
        <v>83</v>
      </c>
      <c r="P31" s="36">
        <f t="shared" si="5"/>
        <v>0</v>
      </c>
      <c r="Q31" s="36">
        <f t="shared" si="5"/>
        <v>0</v>
      </c>
      <c r="R31" s="36">
        <f t="shared" si="5"/>
        <v>0</v>
      </c>
      <c r="S31" s="36">
        <f t="shared" si="5"/>
        <v>0</v>
      </c>
      <c r="T31" s="36">
        <f t="shared" si="5"/>
        <v>0</v>
      </c>
      <c r="U31" s="15">
        <f t="shared" si="5"/>
        <v>16232</v>
      </c>
      <c r="V31" s="25">
        <f t="shared" si="1"/>
        <v>23121</v>
      </c>
      <c r="W31" s="26">
        <f>SUM(W4:W30)</f>
        <v>25814</v>
      </c>
      <c r="X31" s="29">
        <f>SUM(X4:X30)</f>
        <v>2147995.5</v>
      </c>
      <c r="Y31" s="27">
        <f t="shared" si="4"/>
        <v>2830006.5</v>
      </c>
    </row>
    <row r="32" s="30" customFormat="1" ht="21" customHeight="1" spans="1:25">
      <c r="A32" s="14" t="s">
        <v>53</v>
      </c>
      <c r="B32" s="15">
        <f t="shared" ref="B32:P32" si="6">B31*B3</f>
        <v>682011</v>
      </c>
      <c r="C32" s="15">
        <f t="shared" si="6"/>
        <v>143088</v>
      </c>
      <c r="D32" s="15">
        <f t="shared" si="6"/>
        <v>83963</v>
      </c>
      <c r="E32" s="15">
        <f t="shared" si="6"/>
        <v>1168101</v>
      </c>
      <c r="F32" s="15">
        <f t="shared" si="6"/>
        <v>385</v>
      </c>
      <c r="G32" s="37">
        <f t="shared" si="6"/>
        <v>691944</v>
      </c>
      <c r="H32" s="15">
        <f t="shared" si="6"/>
        <v>13330</v>
      </c>
      <c r="I32" s="15">
        <f t="shared" si="6"/>
        <v>9152</v>
      </c>
      <c r="J32" s="15">
        <f t="shared" si="6"/>
        <v>14300</v>
      </c>
      <c r="K32" s="15">
        <f t="shared" si="6"/>
        <v>0</v>
      </c>
      <c r="L32" s="15">
        <f t="shared" si="6"/>
        <v>9405</v>
      </c>
      <c r="M32" s="15">
        <f t="shared" si="6"/>
        <v>27.5</v>
      </c>
      <c r="N32" s="15">
        <f t="shared" si="6"/>
        <v>2431</v>
      </c>
      <c r="O32" s="15">
        <f t="shared" si="6"/>
        <v>11869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2147995.5</v>
      </c>
      <c r="Y32" s="29">
        <f>SUM(B32:P32)</f>
        <v>2830006.5</v>
      </c>
    </row>
    <row r="33" ht="21" customHeight="1"/>
  </sheetData>
  <protectedRanges>
    <protectedRange sqref="H4:H12 H15:H16" name="区域1_3"/>
    <protectedRange sqref="R4:T4 Q5:T28 M4:M12 M15:M28" name="区域1_3_1_1_2_1"/>
    <protectedRange sqref="E29:G31" name="区域1_1_1_2"/>
    <protectedRange sqref="R4:T4 Q5:T28 M4:M12 M15:M28" name="区域1_3_1_1_1"/>
    <protectedRange sqref="N4:P12 O13:P13 P14 N15:P28" name="区域1_8_1"/>
    <protectedRange sqref="H4:H12 H15:H16" name="区域1_3_1_2"/>
    <protectedRange sqref="H4:H12 H15:H16" name="区域1_3_2_2"/>
    <protectedRange sqref="R4:T4 Q5:T28 M4:M12 M15:M28" name="区域1_3_1_1_3_1"/>
    <protectedRange sqref="H4:H12 H15:H16" name="区域1_3_2_1_1"/>
    <protectedRange sqref="N4:P12 O13:P13 P14 N15:P28" name="区域1_8_2_1_1"/>
    <protectedRange sqref="E29:G31" name="区域1_1_1"/>
    <protectedRange sqref="B21:C23 B25:C28 B18:C19 B4:C12 B15:C16" name="区域1_4"/>
    <protectedRange sqref="N4:P12 O13:P13 P14 N15:P28" name="区域1_8"/>
    <protectedRange sqref="H4:H12 H15:H16" name="区域1_3_2"/>
    <protectedRange sqref="H4:H12 H15:H16" name="区域1_3_2_1"/>
    <protectedRange sqref="E29:G31" name="区域1_1"/>
    <protectedRange sqref="E29:G31" name="区域1_1_1_1"/>
    <protectedRange sqref="N4:P12 O13:P13 P14 N15:P28" name="区域1_8_1_2"/>
    <protectedRange sqref="M20 J21:M23 M24 J25:M28 L17:M17 J18:M19 J4:M12 J15:M16" name="区域1_6_1_1"/>
    <protectedRange sqref="B21:C23 B25:C28 B18:C19 B4:C12 B15:C16" name="区域1"/>
    <protectedRange sqref="I4:I12 I15:I16" name="区域1_5_1"/>
    <protectedRange sqref="R4:T4 Q5:T28" name="区域1_3_1_1_1_2"/>
    <protectedRange sqref="N4:P12 O13:P13 P14 N15:P28" name="区域1_8_1_3"/>
    <protectedRange sqref="F21:F23 F25:F28 F18:F19 F4:F12 F15:F16" name="区域1_2"/>
    <protectedRange sqref="P4:P28" name="区域1_8_1_3_1"/>
    <protectedRange sqref="E30:G31 F29" name="区域1_1_1_3"/>
    <protectedRange sqref="R4:T4 Q5:T28" name="区域1_3_1_1_3_1_1"/>
    <protectedRange sqref="F21:F23 F25:F28 F18:F19 F4:F12 F15:F16" name="区域1_2_1_1"/>
    <protectedRange sqref="N29:P31" name="区域1_7_1"/>
    <protectedRange sqref="B21:B23 B25:B28 B18:B19 B4:B12 B15:B16" name="区域1_4_2"/>
    <protectedRange sqref="E21:E23 E25:E28 E18:E19 E4:E12 E15:E16" name="区域1_9"/>
    <protectedRange sqref="J21:L23 J25:L28 L17 J18:L19 J4:L13 J15:L16" name="区域1_12"/>
    <protectedRange sqref="D21:D23 D25:D28 D18:D19 D4:D12 D15:D16" name="区域1_13"/>
    <protectedRange sqref="J29" name="区域1_15"/>
    <protectedRange sqref="E29" name="区域1_17"/>
    <protectedRange sqref="H4:H12 H15:H16" name="区域1_3_1"/>
    <protectedRange sqref="R4:T4 Q5:T28 M4:M12 M15:M28" name="区域1_3_1_1_2_1_1"/>
    <protectedRange sqref="E29:G31" name="区域1_1_1_2_1"/>
    <protectedRange sqref="R4:T4 Q5:T28 M4:M12 M15:M28" name="区域1_3_1_1_1_1"/>
    <protectedRange sqref="N4:P12 O13:P13 P14 N15:P28" name="区域1_8_1_1"/>
    <protectedRange sqref="H4:H12 H15:H16" name="区域1_3_1_2_1"/>
    <protectedRange sqref="H4:H12 H15:H16" name="区域1_3_2_2_1"/>
    <protectedRange sqref="R4:T4 Q5:T28 M4:M12 M15:M28" name="区域1_3_1_1_3_1_2"/>
    <protectedRange sqref="H4:H12 H15:H16" name="区域1_3_2_1_1_1"/>
    <protectedRange sqref="N4:P12 O13:P13 P14 N15:P28" name="区域1_8_2_1_1_1"/>
    <protectedRange sqref="E29:G31" name="区域1_1_1_4"/>
    <protectedRange sqref="B21:C23 B25:C28 B18:C19 B4:C12 B15:C16" name="区域1_4_1"/>
    <protectedRange sqref="N4:P12 O13:P13 P14 N15:P28" name="区域1_8_2"/>
    <protectedRange sqref="H4:H12 H15:H16" name="区域1_3_2_3"/>
    <protectedRange sqref="H4:H12 H15:H16" name="区域1_3_2_1_2"/>
    <protectedRange sqref="E29:G31" name="区域1_1_2"/>
    <protectedRange sqref="E29:G31" name="区域1_1_1_1_1"/>
    <protectedRange sqref="N4:P12 O13:P13 P14 N15:P28" name="区域1_8_1_2_1"/>
    <protectedRange sqref="M20 J21:M23 M24 J25:M28 L17:M17 J18:M19 J4:M12 J15:M16" name="区域1_6_1_1_1"/>
    <protectedRange sqref="B21:C23 B25:C28 B18:C19 B4:C12 B15:C16" name="区域1_5"/>
    <protectedRange sqref="I4:I12 I15:I16" name="区域1_5_1_1"/>
    <protectedRange sqref="R4:T4 Q5:T28" name="区域1_3_1_1_1_2_1"/>
    <protectedRange sqref="N4:P12 O13:P13 P14 N15:P28" name="区域1_8_1_3_2"/>
    <protectedRange sqref="F21:F23 F25:F28 F18:F19 F4:F12 F15:F16" name="区域1_2_1"/>
    <protectedRange sqref="P4:P28" name="区域1_8_1_3_1_1"/>
    <protectedRange sqref="E30:G31 F29" name="区域1_1_1_3_1"/>
    <protectedRange sqref="R4:T4 Q5:T28" name="区域1_3_1_1_3_1_1_1"/>
    <protectedRange sqref="F21:F23 F25:F28 F18:F19 F4:F12 F15:F16" name="区域1_2_1_1_1"/>
    <protectedRange sqref="N29:P31" name="区域1_7_1_1"/>
    <protectedRange sqref="B21:B23 B25:B28 B18:B19 B4:B12 B15:B16" name="区域1_4_2_1"/>
    <protectedRange sqref="E21:E23 E25:E28 E18:E19 E4:E12 E15:E16" name="区域1_9_1"/>
    <protectedRange sqref="J21:L23 J25:L28 L17 J18:L19 J4:L13 J15:L16" name="区域1_12_1"/>
    <protectedRange sqref="D21:D23 D25:D28 D18:D19 D4:D12 D15:D16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21:P28 N5:P12 O13:P13 P15 N16:P18 R20:R24 R5:R18 P14" name="区域1_8_1_1_1"/>
    <protectedRange sqref="B25:C26 B5:C9 B16:C16" name="区域1_4_1_1"/>
    <protectedRange sqref="R4:T4 M21:M28 M5:M12 M16:M18 Q20:Q24 S20:T24 Q25:T28 Q5:Q18 S5:T18" name="区域1_3_1_1"/>
    <protectedRange sqref="P4 P20 N21:P28 N5:P12 O13:P13 P15 N16:P18 R20:R24 R5:R18 P14" name="区域1_8_2_1"/>
    <protectedRange sqref="H16 H5:H9" name="区域1_3_1_3"/>
    <protectedRange sqref="H16 H5:H9" name="区域1_3_2_3_1"/>
    <protectedRange sqref="R4:T4 M21:M28 M5:M12 M16:M18 Q20:Q24 S20:T24 Q25:T28 Q5:Q18 S5:T18" name="区域1_3_1_1_3"/>
    <protectedRange sqref="H16 H5:H9" name="区域1_3_2_1_2_1"/>
    <protectedRange sqref="P4 P20 N21:P28 N5:P12 O13:P13 P15 N16:P18 R20:R24 R5:R18 P14" name="区域1_8_2_1_2"/>
    <protectedRange sqref="E29:G31 E33:G33" name="区域1_1_3"/>
    <protectedRange sqref="K27:M28 L22:M23 M24 J25:M26 M21 L12:M12 J5:M9 L10:M10 M11 M18 J16:M16 L17:M17" name="区域1_6"/>
    <protectedRange sqref="E29:G31 E33:G33" name="区域1_1_1_1_1_1"/>
    <protectedRange sqref="R4:T4 M21:M28 M5:M12 M16:M18 Q20:Q24 S20:T24 Q25:T28 Q5:Q18 S5:T18" name="区域1_3_1_1_1_1_1"/>
    <protectedRange sqref="P4 P20 N21:P28 N5:P12 O13:P13 P15 N16:P18 R20:R24 R5:R18 P14" name="区域1_8_1_2_1_1"/>
    <protectedRange sqref="E29:G31 E33:G33" name="区域1_1_1_2_1_1"/>
    <protectedRange sqref="K27:M28 L22:M23 M24 J25:M26 M21 L12:M12 J5:M9 L10:M10 M11 M18 J16:M16 L17:M17" name="区域1_6_1"/>
    <protectedRange sqref="D25:D26 D5:D9 D16" name="区域1_4_1_1_1"/>
    <protectedRange sqref="B25:C26 B5:C9 B16:C16" name="区域1_5_2"/>
    <protectedRange sqref="E25:G26 E5:G9 E16:G16" name="区域1_2_1_2"/>
    <protectedRange sqref="I16 I5: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21:P28 N5:P12 O13:P13 P15 N16:P18 R20:R24 R5:R18 P14" name="区域1_8_1_4"/>
    <protectedRange sqref="E30:G31 F29 E33:G33" name="区域1_1_1_1_1_1_1"/>
    <protectedRange sqref="F25:F26 F5:F9 F16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21:P28 N5:P12 O13:P13 P15 N16:P18 R20:R24 R5:R18 P14" name="区域1_8_2_2"/>
    <protectedRange sqref="R4:T4 Q20:Q24 S20:T24 Q25:T28 Q5:Q18 S5:T18" name="区域1_3_1_1_3_1_2_1"/>
    <protectedRange sqref="E30:G31 F29 E33:G33" name="区域1_1_1_2_1_1_1"/>
    <protectedRange sqref="F25:F26 F5:F9 F16" name="区域1_2_1_3_1"/>
    <protectedRange sqref="I16 I5:I9" name="区域1_5_2_1"/>
    <protectedRange sqref="N29:P31" name="区域1_7_1_1_1"/>
    <protectedRange sqref="P4:P18 P20:P28 R5:R18 R20:R24" name="区域1_8_2_1_1_1_1"/>
    <protectedRange sqref="B25:B26 B5:B9 B16" name="区域1_4_2_1_1"/>
    <protectedRange sqref="C25:C26 C5:C9 C16" name="区域1_3_3"/>
    <protectedRange sqref="E25:E26 E5:E9 E16" name="区域1_9_1_1"/>
    <protectedRange sqref="G25:G26 G5:G9 G16" name="区域1_10"/>
    <protectedRange sqref="H25:H26 H5:H9 H16" name="区域1_3_3_1"/>
    <protectedRange sqref="K27:L28 L22:L23 J25:L26 L12 J5:L9 L10 J16:L16 L17" name="区域1_12_1_1"/>
    <protectedRange sqref="M21:O28 M5:O12 O13 M16:O18" name="区域1_6_2"/>
    <protectedRange sqref="D25:D26 D5:D9 D16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1_2"/>
    <protectedRange sqref="E19:G19" name="区域1_1_1_2_2"/>
    <protectedRange sqref="E19:G19" name="区域1_1_4"/>
    <protectedRange sqref="E19:G19" name="区域1_1_1_1_3"/>
    <protectedRange sqref="E19:G19" name="区域1_1_1_4_1_1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6"/>
    <protectedRange sqref="E4:G4" name="区域1_1_1_1_5"/>
    <protectedRange sqref="E4:G4" name="区域1_1_1_6"/>
    <protectedRange sqref="E4:G4" name="区域1_1_1_2_5"/>
    <protectedRange sqref="N4:O4" name="区域1_7_3"/>
    <protectedRange sqref="E23:G23" name="区域1_1_7"/>
    <protectedRange sqref="E23:G23" name="区域1_1_1_1_6"/>
    <protectedRange sqref="E23:G23" name="区域1_1_1_7"/>
    <protectedRange sqref="E23:G23" name="区域1_1_1_2_6"/>
    <protectedRange sqref="E20:G20" name="区域1_1_1_1_7"/>
    <protectedRange sqref="E20:G20" name="区域1_1_1_2_7"/>
    <protectedRange sqref="N20:O20" name="区域1_7_4"/>
    <protectedRange sqref="E24:G24" name="区域1_1_1_1_8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1"/>
    <protectedRange sqref="E22:G22" name="区域1_1_1_1_10"/>
    <protectedRange sqref="E22:G22" name="区域1_1_1_11"/>
    <protectedRange sqref="E22:G22" name="区域1_1_1_2_10"/>
    <protectedRange sqref="E21:G21" name="区域1_1_12"/>
    <protectedRange sqref="E21:G21" name="区域1_1_1_1_11"/>
    <protectedRange sqref="E21:G21" name="区域1_1_1_12"/>
    <protectedRange sqref="E21:G21" name="区域1_1_1_2_11"/>
    <protectedRange sqref="E12:G12" name="区域1_1_13"/>
    <protectedRange sqref="E12:G12" name="区域1_1_1_1_12"/>
    <protectedRange sqref="E12:G12" name="区域1_1_1_13"/>
    <protectedRange sqref="E12:G12" name="区域1_1_1_2_12"/>
    <protectedRange sqref="E13:G13" name="区域1_1_1_1_13"/>
    <protectedRange sqref="E13:G13" name="区域1_1_1_2_13"/>
    <protectedRange sqref="E15:G15" name="区域1_1_15"/>
    <protectedRange sqref="E15:G15" name="区域1_1_1_1_14"/>
    <protectedRange sqref="E15:G15" name="区域1_1_1_15"/>
    <protectedRange sqref="E15:G15" name="区域1_1_1_2_14"/>
    <protectedRange sqref="N15:O15" name="区域1_7_6"/>
    <protectedRange sqref="E10:G10" name="区域1_1_16"/>
    <protectedRange sqref="E10:G10" name="区域1_1_1_1_15"/>
    <protectedRange sqref="E10:G10" name="区域1_1_1_16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8"/>
    <protectedRange sqref="E18:G18" name="区域1_1_1_1_17"/>
    <protectedRange sqref="E18:G18" name="区域1_1_1_18"/>
    <protectedRange sqref="E18:G18" name="区域1_1_1_2_17"/>
    <protectedRange sqref="E17:G17" name="区域1_1_1_1_18"/>
    <protectedRange sqref="E17:G17" name="区域1_1_1_2_18"/>
    <protectedRange sqref="E20:G20" name="区域1_1_8"/>
    <protectedRange sqref="E20:G20" name="区域1_1_1_1_19"/>
    <protectedRange sqref="E20:G20" name="区域1_1_1_8"/>
    <protectedRange sqref="E20:G20" name="区域1_1_1_2_19"/>
    <protectedRange sqref="E24:G24" name="区域1_1_9"/>
    <protectedRange sqref="E24:G24" name="区域1_1_1_1_20"/>
    <protectedRange sqref="E24:G24" name="区域1_1_1_9"/>
    <protectedRange sqref="E24:G24" name="区域1_1_1_2_20"/>
    <protectedRange sqref="E17:G17" name="区域1_1_19"/>
    <protectedRange sqref="E17:G17" name="区域1_1_1_1_21"/>
    <protectedRange sqref="E17:G17" name="区域1_1_1_19"/>
    <protectedRange sqref="E17:G17" name="区域1_1_1_2_21"/>
    <protectedRange sqref="E13:G13" name="区域1_1_14"/>
    <protectedRange sqref="E13:G13" name="区域1_1_1_1_22"/>
    <protectedRange sqref="E13:G13" name="区域1_1_1_14"/>
    <protectedRange sqref="E13:G13" name="区域1_1_1_2_22"/>
    <protectedRange sqref="N13" name="区域1_7_5"/>
    <protectedRange sqref="E14:G14" name="区域1_1_20"/>
    <protectedRange sqref="E14:G14" name="区域1_1_1_1_23"/>
    <protectedRange sqref="E14:G14" name="区域1_1_1_20"/>
    <protectedRange sqref="E14:G14" name="区域1_1_1_2_23"/>
    <protectedRange sqref="N14:O14" name="区域1_7_7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workbookViewId="0">
      <selection activeCell="K2" sqref="K2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38" t="s">
        <v>65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/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233</v>
      </c>
      <c r="C4" s="11">
        <v>63</v>
      </c>
      <c r="D4" s="11">
        <v>702</v>
      </c>
      <c r="E4" s="11">
        <v>512</v>
      </c>
      <c r="F4" s="11">
        <v>0</v>
      </c>
      <c r="G4" s="11">
        <v>233</v>
      </c>
      <c r="H4" s="11">
        <v>19</v>
      </c>
      <c r="I4" s="11">
        <v>3</v>
      </c>
      <c r="J4" s="11">
        <v>2</v>
      </c>
      <c r="K4" s="11">
        <v>18</v>
      </c>
      <c r="L4" s="11">
        <v>0</v>
      </c>
      <c r="M4" s="11">
        <v>0</v>
      </c>
      <c r="N4" s="11">
        <v>6</v>
      </c>
      <c r="O4" s="11">
        <v>35</v>
      </c>
      <c r="P4" s="11"/>
      <c r="Q4" s="41"/>
      <c r="R4" s="42"/>
      <c r="S4" s="42"/>
      <c r="T4" s="42"/>
      <c r="U4" s="25">
        <f t="shared" ref="U4:U29" si="0">SUM(C4:P4)-D4</f>
        <v>891</v>
      </c>
      <c r="V4" s="25">
        <f t="shared" ref="V4:V31" si="1">SUM(B4:P4)-D4</f>
        <v>1124</v>
      </c>
      <c r="W4" s="26">
        <f>B4+C4+E4+F4+G4*2+H4*3+I4*3+J4+K4*10+L4*5+M4+N4*5+O4*5+P4+Q4</f>
        <v>1727</v>
      </c>
      <c r="X4" s="27">
        <f t="shared" ref="X4:X30" si="2">C4*$C$3+D4*$D$3+E4*$E$3+F4*$F$3+G4*$G$3+H4*$H$3+I4*$I$3+J4*$J$3+K4*$K$3+L4*$L$3+M4*$M$3+N4*$N$3+O4*$O$3+P4*$P$3</f>
        <v>137098</v>
      </c>
      <c r="Y4" s="27">
        <f t="shared" ref="Y4:Y31" si="3">B4*99+C4*$C$3+D4*$D$3+E4*$E$3+F4*$F$3+G4*$G$3+H4*$H$3+I4*$I$3+J4*$J$3+K4*$K$3+L4*$L$3+M4*$M$3+N4*$N$3+O4*$O$3+P4*$P$3</f>
        <v>160165</v>
      </c>
    </row>
    <row r="5" s="30" customFormat="1" ht="21" customHeight="1" spans="1:25">
      <c r="A5" s="13" t="s">
        <v>28</v>
      </c>
      <c r="B5" s="11">
        <v>476</v>
      </c>
      <c r="C5" s="11"/>
      <c r="D5" s="11">
        <v>744</v>
      </c>
      <c r="E5" s="11">
        <v>645</v>
      </c>
      <c r="F5" s="11"/>
      <c r="G5" s="11">
        <v>101</v>
      </c>
      <c r="H5" s="11"/>
      <c r="I5" s="11"/>
      <c r="J5" s="11">
        <v>21</v>
      </c>
      <c r="K5" s="11"/>
      <c r="L5" s="11"/>
      <c r="M5" s="11"/>
      <c r="N5" s="11"/>
      <c r="O5" s="11"/>
      <c r="P5" s="11"/>
      <c r="Q5" s="40"/>
      <c r="R5" s="11"/>
      <c r="S5" s="40"/>
      <c r="T5" s="40"/>
      <c r="U5" s="25">
        <f t="shared" si="0"/>
        <v>767</v>
      </c>
      <c r="V5" s="25">
        <f t="shared" si="1"/>
        <v>1243</v>
      </c>
      <c r="W5" s="26">
        <f t="shared" ref="W5:W28" si="4">B5+C5+E5+F5+G5*2+H5*3+I5*3+J5+K5*10+L5*5+M5+N5*5+O5*5+P5+Q5</f>
        <v>1344</v>
      </c>
      <c r="X5" s="27">
        <f t="shared" si="2"/>
        <v>95766</v>
      </c>
      <c r="Y5" s="27">
        <f t="shared" si="3"/>
        <v>142890</v>
      </c>
    </row>
    <row r="6" s="30" customFormat="1" ht="21" customHeight="1" spans="1:25">
      <c r="A6" s="13" t="s">
        <v>29</v>
      </c>
      <c r="B6" s="11">
        <v>71</v>
      </c>
      <c r="C6" s="11">
        <v>63</v>
      </c>
      <c r="D6" s="11">
        <v>357</v>
      </c>
      <c r="E6" s="11">
        <v>216</v>
      </c>
      <c r="F6" s="11">
        <v>0</v>
      </c>
      <c r="G6" s="11">
        <v>79</v>
      </c>
      <c r="H6" s="11">
        <v>0</v>
      </c>
      <c r="I6" s="11">
        <v>0</v>
      </c>
      <c r="J6" s="11">
        <v>4</v>
      </c>
      <c r="K6" s="11"/>
      <c r="L6" s="11"/>
      <c r="M6" s="11"/>
      <c r="N6" s="11"/>
      <c r="O6" s="11"/>
      <c r="P6" s="11"/>
      <c r="Q6" s="40"/>
      <c r="R6" s="11"/>
      <c r="S6" s="40"/>
      <c r="T6" s="40"/>
      <c r="U6" s="25">
        <f t="shared" si="0"/>
        <v>362</v>
      </c>
      <c r="V6" s="25">
        <f t="shared" si="1"/>
        <v>433</v>
      </c>
      <c r="W6" s="26">
        <f t="shared" si="4"/>
        <v>512</v>
      </c>
      <c r="X6" s="27">
        <f t="shared" si="2"/>
        <v>52739.5</v>
      </c>
      <c r="Y6" s="27">
        <f t="shared" si="3"/>
        <v>59768.5</v>
      </c>
    </row>
    <row r="7" s="30" customFormat="1" ht="21" customHeight="1" spans="1:25">
      <c r="A7" s="13" t="s">
        <v>30</v>
      </c>
      <c r="B7" s="11">
        <v>256</v>
      </c>
      <c r="C7" s="11">
        <v>187</v>
      </c>
      <c r="D7" s="11">
        <v>1111</v>
      </c>
      <c r="E7" s="11">
        <v>642</v>
      </c>
      <c r="F7" s="11"/>
      <c r="G7" s="11">
        <v>281</v>
      </c>
      <c r="H7" s="11"/>
      <c r="I7" s="11"/>
      <c r="J7" s="11">
        <v>12</v>
      </c>
      <c r="K7" s="11"/>
      <c r="L7" s="11">
        <v>2</v>
      </c>
      <c r="M7" s="11"/>
      <c r="N7" s="11"/>
      <c r="O7" s="11"/>
      <c r="P7" s="11"/>
      <c r="Q7" s="40"/>
      <c r="R7" s="11"/>
      <c r="S7" s="40"/>
      <c r="T7" s="40"/>
      <c r="U7" s="25">
        <f t="shared" si="0"/>
        <v>1124</v>
      </c>
      <c r="V7" s="25">
        <f t="shared" si="1"/>
        <v>1380</v>
      </c>
      <c r="W7" s="26">
        <f t="shared" si="4"/>
        <v>1669</v>
      </c>
      <c r="X7" s="27">
        <f t="shared" si="2"/>
        <v>169262.5</v>
      </c>
      <c r="Y7" s="27">
        <f t="shared" si="3"/>
        <v>194606.5</v>
      </c>
    </row>
    <row r="8" s="30" customFormat="1" ht="21" customHeight="1" spans="1:25">
      <c r="A8" s="13" t="s">
        <v>31</v>
      </c>
      <c r="B8" s="11">
        <v>575</v>
      </c>
      <c r="C8" s="11">
        <v>184</v>
      </c>
      <c r="D8" s="11">
        <v>1098</v>
      </c>
      <c r="E8" s="11">
        <v>561</v>
      </c>
      <c r="F8" s="11">
        <v>0</v>
      </c>
      <c r="G8" s="11">
        <v>352</v>
      </c>
      <c r="H8" s="11">
        <v>0</v>
      </c>
      <c r="I8" s="11">
        <v>0</v>
      </c>
      <c r="J8" s="11">
        <v>4</v>
      </c>
      <c r="K8" s="11"/>
      <c r="L8" s="11"/>
      <c r="M8" s="11"/>
      <c r="N8" s="11"/>
      <c r="O8" s="11"/>
      <c r="P8" s="11"/>
      <c r="Q8" s="40"/>
      <c r="R8" s="11"/>
      <c r="S8" s="40"/>
      <c r="T8" s="40"/>
      <c r="U8" s="25">
        <f t="shared" si="0"/>
        <v>1101</v>
      </c>
      <c r="V8" s="25">
        <f t="shared" si="1"/>
        <v>1676</v>
      </c>
      <c r="W8" s="26">
        <f t="shared" si="4"/>
        <v>2028</v>
      </c>
      <c r="X8" s="27">
        <f t="shared" si="2"/>
        <v>179014</v>
      </c>
      <c r="Y8" s="27">
        <f t="shared" si="3"/>
        <v>235939</v>
      </c>
    </row>
    <row r="9" s="30" customFormat="1" ht="21" customHeight="1" spans="1:25">
      <c r="A9" s="13" t="s">
        <v>32</v>
      </c>
      <c r="B9" s="11">
        <v>157</v>
      </c>
      <c r="C9" s="11"/>
      <c r="D9" s="11">
        <v>575</v>
      </c>
      <c r="E9" s="11">
        <v>489</v>
      </c>
      <c r="F9" s="11"/>
      <c r="G9" s="11">
        <v>84</v>
      </c>
      <c r="H9" s="11"/>
      <c r="I9" s="11"/>
      <c r="J9" s="11">
        <v>10</v>
      </c>
      <c r="K9" s="11"/>
      <c r="L9" s="11"/>
      <c r="M9" s="11"/>
      <c r="N9" s="11"/>
      <c r="O9" s="11"/>
      <c r="P9" s="11"/>
      <c r="Q9" s="40"/>
      <c r="R9" s="11"/>
      <c r="S9" s="40"/>
      <c r="T9" s="40"/>
      <c r="U9" s="25">
        <f t="shared" si="0"/>
        <v>583</v>
      </c>
      <c r="V9" s="25">
        <f t="shared" si="1"/>
        <v>740</v>
      </c>
      <c r="W9" s="26">
        <f t="shared" si="4"/>
        <v>824</v>
      </c>
      <c r="X9" s="27">
        <f t="shared" si="2"/>
        <v>74299.5</v>
      </c>
      <c r="Y9" s="27">
        <f t="shared" si="3"/>
        <v>89842.5</v>
      </c>
    </row>
    <row r="10" s="30" customFormat="1" ht="21" customHeight="1" spans="1:25">
      <c r="A10" s="13" t="s">
        <v>33</v>
      </c>
      <c r="B10" s="11">
        <v>504</v>
      </c>
      <c r="C10" s="11">
        <v>4</v>
      </c>
      <c r="D10" s="11">
        <v>745</v>
      </c>
      <c r="E10" s="11">
        <v>659</v>
      </c>
      <c r="F10" s="11">
        <v>0</v>
      </c>
      <c r="G10" s="11">
        <v>97</v>
      </c>
      <c r="H10" s="11">
        <v>0</v>
      </c>
      <c r="I10" s="11">
        <v>0</v>
      </c>
      <c r="J10" s="11">
        <v>19</v>
      </c>
      <c r="K10" s="11"/>
      <c r="L10" s="11">
        <v>32</v>
      </c>
      <c r="M10" s="11"/>
      <c r="N10" s="11"/>
      <c r="O10" s="11"/>
      <c r="P10" s="11"/>
      <c r="Q10" s="40"/>
      <c r="R10" s="11"/>
      <c r="S10" s="40"/>
      <c r="T10" s="40"/>
      <c r="U10" s="25">
        <f t="shared" si="0"/>
        <v>811</v>
      </c>
      <c r="V10" s="25">
        <f t="shared" si="1"/>
        <v>1315</v>
      </c>
      <c r="W10" s="26">
        <f t="shared" si="4"/>
        <v>1540</v>
      </c>
      <c r="X10" s="27">
        <f t="shared" si="2"/>
        <v>97575.5</v>
      </c>
      <c r="Y10" s="27">
        <f t="shared" si="3"/>
        <v>147471.5</v>
      </c>
    </row>
    <row r="11" s="30" customFormat="1" ht="21" customHeight="1" spans="1:25">
      <c r="A11" s="13" t="s">
        <v>34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40"/>
      <c r="R11" s="11"/>
      <c r="S11" s="40"/>
      <c r="T11" s="40"/>
      <c r="U11" s="25">
        <f t="shared" si="0"/>
        <v>0</v>
      </c>
      <c r="V11" s="25">
        <f t="shared" si="1"/>
        <v>0</v>
      </c>
      <c r="W11" s="26">
        <f t="shared" si="4"/>
        <v>0</v>
      </c>
      <c r="X11" s="27">
        <f t="shared" si="2"/>
        <v>0</v>
      </c>
      <c r="Y11" s="27">
        <f t="shared" si="3"/>
        <v>0</v>
      </c>
    </row>
    <row r="12" s="30" customFormat="1" ht="21" customHeight="1" spans="1:25">
      <c r="A12" s="13" t="s">
        <v>35</v>
      </c>
      <c r="B12" s="11">
        <v>222</v>
      </c>
      <c r="C12" s="11">
        <v>44</v>
      </c>
      <c r="D12" s="11">
        <v>319</v>
      </c>
      <c r="E12" s="11">
        <v>233</v>
      </c>
      <c r="F12" s="11">
        <v>0</v>
      </c>
      <c r="G12" s="11">
        <v>63</v>
      </c>
      <c r="H12" s="11">
        <v>8</v>
      </c>
      <c r="I12" s="11">
        <v>9</v>
      </c>
      <c r="J12" s="11">
        <v>2</v>
      </c>
      <c r="K12" s="11"/>
      <c r="L12" s="11">
        <v>20</v>
      </c>
      <c r="M12" s="11"/>
      <c r="N12" s="11"/>
      <c r="O12" s="11"/>
      <c r="P12" s="11"/>
      <c r="Q12" s="40"/>
      <c r="R12" s="11"/>
      <c r="S12" s="40"/>
      <c r="T12" s="40"/>
      <c r="U12" s="25">
        <f t="shared" si="0"/>
        <v>379</v>
      </c>
      <c r="V12" s="25">
        <f t="shared" si="1"/>
        <v>601</v>
      </c>
      <c r="W12" s="26">
        <f t="shared" si="4"/>
        <v>778</v>
      </c>
      <c r="X12" s="27">
        <f t="shared" si="2"/>
        <v>53085.5</v>
      </c>
      <c r="Y12" s="27">
        <f t="shared" si="3"/>
        <v>75063.5</v>
      </c>
    </row>
    <row r="13" s="30" customFormat="1" ht="21" customHeight="1" spans="1:25">
      <c r="A13" s="13" t="s">
        <v>36</v>
      </c>
      <c r="B13" s="11">
        <v>401</v>
      </c>
      <c r="C13" s="11">
        <v>127</v>
      </c>
      <c r="D13" s="11">
        <v>868</v>
      </c>
      <c r="E13" s="11">
        <v>458</v>
      </c>
      <c r="F13" s="11">
        <v>0</v>
      </c>
      <c r="G13" s="11">
        <v>252</v>
      </c>
      <c r="H13" s="11">
        <v>18</v>
      </c>
      <c r="I13" s="11">
        <v>19</v>
      </c>
      <c r="J13" s="11">
        <v>3</v>
      </c>
      <c r="K13" s="11"/>
      <c r="L13" s="11">
        <v>0</v>
      </c>
      <c r="M13" s="11">
        <v>0</v>
      </c>
      <c r="N13" s="11">
        <v>7</v>
      </c>
      <c r="O13" s="11"/>
      <c r="P13" s="11"/>
      <c r="Q13" s="40"/>
      <c r="R13" s="11"/>
      <c r="S13" s="40"/>
      <c r="T13" s="40"/>
      <c r="U13" s="25">
        <f t="shared" si="0"/>
        <v>884</v>
      </c>
      <c r="V13" s="25">
        <f t="shared" si="1"/>
        <v>1285</v>
      </c>
      <c r="W13" s="26">
        <f t="shared" si="4"/>
        <v>1639</v>
      </c>
      <c r="X13" s="27">
        <f t="shared" si="2"/>
        <v>145588</v>
      </c>
      <c r="Y13" s="27">
        <f t="shared" si="3"/>
        <v>185287</v>
      </c>
    </row>
    <row r="14" s="30" customFormat="1" ht="21" customHeight="1" spans="1:25">
      <c r="A14" s="13" t="s">
        <v>37</v>
      </c>
      <c r="B14" s="11">
        <v>497</v>
      </c>
      <c r="C14" s="11">
        <v>5</v>
      </c>
      <c r="D14" s="11">
        <v>535</v>
      </c>
      <c r="E14" s="11">
        <v>448</v>
      </c>
      <c r="F14" s="11">
        <v>3</v>
      </c>
      <c r="G14" s="11">
        <v>74</v>
      </c>
      <c r="H14" s="11">
        <v>0</v>
      </c>
      <c r="I14" s="11">
        <v>0</v>
      </c>
      <c r="J14" s="11">
        <v>11</v>
      </c>
      <c r="K14" s="11">
        <v>17</v>
      </c>
      <c r="L14" s="11">
        <v>12</v>
      </c>
      <c r="M14" s="11">
        <v>0</v>
      </c>
      <c r="N14" s="11">
        <v>0</v>
      </c>
      <c r="O14" s="11">
        <v>45</v>
      </c>
      <c r="P14" s="11"/>
      <c r="Q14" s="40"/>
      <c r="R14" s="11"/>
      <c r="S14" s="40"/>
      <c r="T14" s="40"/>
      <c r="U14" s="25">
        <f t="shared" si="0"/>
        <v>615</v>
      </c>
      <c r="V14" s="25">
        <f t="shared" si="1"/>
        <v>1112</v>
      </c>
      <c r="W14" s="26">
        <f t="shared" si="4"/>
        <v>1567</v>
      </c>
      <c r="X14" s="27">
        <f t="shared" si="2"/>
        <v>75091.5</v>
      </c>
      <c r="Y14" s="27">
        <f t="shared" si="3"/>
        <v>124294.5</v>
      </c>
    </row>
    <row r="15" s="30" customFormat="1" ht="21" customHeight="1" spans="1:25">
      <c r="A15" s="13" t="s">
        <v>38</v>
      </c>
      <c r="B15" s="11">
        <v>363</v>
      </c>
      <c r="C15" s="11">
        <v>17</v>
      </c>
      <c r="D15" s="11">
        <v>465</v>
      </c>
      <c r="E15" s="11">
        <v>434</v>
      </c>
      <c r="F15" s="11">
        <v>0</v>
      </c>
      <c r="G15" s="11">
        <v>21</v>
      </c>
      <c r="H15" s="11">
        <v>0</v>
      </c>
      <c r="I15" s="11">
        <v>0</v>
      </c>
      <c r="J15" s="11">
        <v>1</v>
      </c>
      <c r="K15" s="11">
        <v>17</v>
      </c>
      <c r="L15" s="11">
        <v>28</v>
      </c>
      <c r="M15" s="11">
        <v>0</v>
      </c>
      <c r="N15" s="11">
        <v>0</v>
      </c>
      <c r="O15" s="11">
        <v>6</v>
      </c>
      <c r="P15" s="11"/>
      <c r="Q15" s="40"/>
      <c r="R15" s="11"/>
      <c r="S15" s="40"/>
      <c r="T15" s="40"/>
      <c r="U15" s="25">
        <f t="shared" si="0"/>
        <v>524</v>
      </c>
      <c r="V15" s="25">
        <f t="shared" si="1"/>
        <v>887</v>
      </c>
      <c r="W15" s="26">
        <f t="shared" si="4"/>
        <v>1197</v>
      </c>
      <c r="X15" s="27">
        <f t="shared" si="2"/>
        <v>55148.5</v>
      </c>
      <c r="Y15" s="27">
        <f t="shared" si="3"/>
        <v>91085.5</v>
      </c>
    </row>
    <row r="16" s="30" customFormat="1" ht="21" customHeight="1" spans="1:25">
      <c r="A16" s="13" t="s">
        <v>39</v>
      </c>
      <c r="B16" s="11">
        <v>741</v>
      </c>
      <c r="C16" s="11">
        <v>89</v>
      </c>
      <c r="D16" s="11">
        <v>804</v>
      </c>
      <c r="E16" s="11">
        <v>531</v>
      </c>
      <c r="F16" s="11"/>
      <c r="G16" s="11">
        <v>204</v>
      </c>
      <c r="H16" s="11"/>
      <c r="I16" s="11"/>
      <c r="J16" s="11">
        <v>5</v>
      </c>
      <c r="K16" s="11"/>
      <c r="L16" s="11">
        <v>19</v>
      </c>
      <c r="M16" s="11"/>
      <c r="N16" s="11"/>
      <c r="O16" s="11"/>
      <c r="P16" s="11"/>
      <c r="Q16" s="40"/>
      <c r="R16" s="11"/>
      <c r="S16" s="40"/>
      <c r="T16" s="40"/>
      <c r="U16" s="25">
        <f t="shared" si="0"/>
        <v>848</v>
      </c>
      <c r="V16" s="25">
        <f t="shared" si="1"/>
        <v>1589</v>
      </c>
      <c r="W16" s="26">
        <f t="shared" si="4"/>
        <v>1869</v>
      </c>
      <c r="X16" s="27">
        <f t="shared" si="2"/>
        <v>123497</v>
      </c>
      <c r="Y16" s="27">
        <f t="shared" si="3"/>
        <v>196856</v>
      </c>
    </row>
    <row r="17" s="30" customFormat="1" ht="21" customHeight="1" spans="1:25">
      <c r="A17" s="13" t="s">
        <v>40</v>
      </c>
      <c r="B17" s="11">
        <v>300</v>
      </c>
      <c r="C17" s="11">
        <v>2</v>
      </c>
      <c r="D17" s="11">
        <v>362</v>
      </c>
      <c r="E17" s="11">
        <v>332</v>
      </c>
      <c r="F17" s="11">
        <v>0</v>
      </c>
      <c r="G17" s="11">
        <v>43</v>
      </c>
      <c r="H17" s="11">
        <v>0</v>
      </c>
      <c r="I17" s="35">
        <v>0</v>
      </c>
      <c r="J17" s="11">
        <v>5</v>
      </c>
      <c r="K17" s="11"/>
      <c r="L17" s="11">
        <v>13</v>
      </c>
      <c r="M17" s="11"/>
      <c r="N17" s="11"/>
      <c r="O17" s="11"/>
      <c r="P17" s="11"/>
      <c r="Q17" s="40"/>
      <c r="R17" s="11"/>
      <c r="S17" s="40"/>
      <c r="T17" s="40"/>
      <c r="U17" s="25">
        <f t="shared" si="0"/>
        <v>395</v>
      </c>
      <c r="V17" s="25">
        <f t="shared" si="1"/>
        <v>695</v>
      </c>
      <c r="W17" s="26">
        <f t="shared" si="4"/>
        <v>790</v>
      </c>
      <c r="X17" s="27">
        <f t="shared" si="2"/>
        <v>47179</v>
      </c>
      <c r="Y17" s="27">
        <f t="shared" si="3"/>
        <v>76879</v>
      </c>
    </row>
    <row r="18" s="30" customFormat="1" ht="21" customHeight="1" spans="1:25">
      <c r="A18" s="13" t="s">
        <v>41</v>
      </c>
      <c r="B18" s="11">
        <v>459</v>
      </c>
      <c r="C18" s="11">
        <v>70</v>
      </c>
      <c r="D18" s="11">
        <v>499</v>
      </c>
      <c r="E18" s="11">
        <v>348</v>
      </c>
      <c r="F18" s="11">
        <v>0</v>
      </c>
      <c r="G18" s="11">
        <v>114</v>
      </c>
      <c r="H18" s="11">
        <v>0</v>
      </c>
      <c r="I18" s="35">
        <v>0</v>
      </c>
      <c r="J18" s="11">
        <v>2</v>
      </c>
      <c r="K18" s="11"/>
      <c r="L18" s="11">
        <v>34</v>
      </c>
      <c r="M18" s="11"/>
      <c r="N18" s="11"/>
      <c r="O18" s="11"/>
      <c r="P18" s="11"/>
      <c r="Q18" s="40"/>
      <c r="R18" s="11"/>
      <c r="S18" s="40"/>
      <c r="T18" s="40"/>
      <c r="U18" s="25">
        <f t="shared" si="0"/>
        <v>568</v>
      </c>
      <c r="V18" s="25">
        <f t="shared" si="1"/>
        <v>1027</v>
      </c>
      <c r="W18" s="26">
        <f t="shared" si="4"/>
        <v>1277</v>
      </c>
      <c r="X18" s="27">
        <f t="shared" si="2"/>
        <v>77764.5</v>
      </c>
      <c r="Y18" s="27">
        <f t="shared" si="3"/>
        <v>123205.5</v>
      </c>
    </row>
    <row r="19" s="30" customFormat="1" ht="21" customHeight="1" spans="1:25">
      <c r="A19" s="13" t="s">
        <v>42</v>
      </c>
      <c r="B19" s="11">
        <v>307</v>
      </c>
      <c r="C19" s="11">
        <v>11</v>
      </c>
      <c r="D19" s="11">
        <v>691</v>
      </c>
      <c r="E19" s="11">
        <v>647</v>
      </c>
      <c r="F19" s="11">
        <v>0</v>
      </c>
      <c r="G19" s="11">
        <v>57</v>
      </c>
      <c r="H19" s="11">
        <v>0</v>
      </c>
      <c r="I19" s="35">
        <v>0</v>
      </c>
      <c r="J19" s="11">
        <v>10</v>
      </c>
      <c r="K19" s="11"/>
      <c r="L19" s="11">
        <v>22</v>
      </c>
      <c r="M19" s="11"/>
      <c r="N19" s="11"/>
      <c r="O19" s="11"/>
      <c r="P19" s="11"/>
      <c r="Q19" s="40"/>
      <c r="R19" s="11"/>
      <c r="S19" s="40"/>
      <c r="T19" s="40"/>
      <c r="U19" s="25">
        <f t="shared" si="0"/>
        <v>747</v>
      </c>
      <c r="V19" s="25">
        <f t="shared" si="1"/>
        <v>1054</v>
      </c>
      <c r="W19" s="26">
        <f t="shared" si="4"/>
        <v>1199</v>
      </c>
      <c r="X19" s="27">
        <f t="shared" si="2"/>
        <v>85629.5</v>
      </c>
      <c r="Y19" s="27">
        <f t="shared" si="3"/>
        <v>116022.5</v>
      </c>
    </row>
    <row r="20" s="30" customFormat="1" ht="21" customHeight="1" spans="1:25">
      <c r="A20" s="13" t="s">
        <v>43</v>
      </c>
      <c r="B20" s="11">
        <v>368</v>
      </c>
      <c r="C20" s="11">
        <v>7</v>
      </c>
      <c r="D20" s="11">
        <v>792</v>
      </c>
      <c r="E20" s="11">
        <v>706</v>
      </c>
      <c r="F20" s="11">
        <v>1</v>
      </c>
      <c r="G20" s="11">
        <v>93</v>
      </c>
      <c r="H20" s="11">
        <v>0</v>
      </c>
      <c r="I20" s="35">
        <v>0</v>
      </c>
      <c r="J20" s="11">
        <v>21</v>
      </c>
      <c r="K20" s="11"/>
      <c r="L20" s="11">
        <v>26</v>
      </c>
      <c r="M20" s="11"/>
      <c r="N20" s="11"/>
      <c r="O20" s="11"/>
      <c r="P20" s="11"/>
      <c r="Q20" s="40"/>
      <c r="R20" s="11"/>
      <c r="S20" s="40"/>
      <c r="T20" s="40"/>
      <c r="U20" s="25">
        <f t="shared" si="0"/>
        <v>854</v>
      </c>
      <c r="V20" s="25">
        <f t="shared" si="1"/>
        <v>1222</v>
      </c>
      <c r="W20" s="26">
        <f t="shared" si="4"/>
        <v>1419</v>
      </c>
      <c r="X20" s="27">
        <f t="shared" si="2"/>
        <v>101794</v>
      </c>
      <c r="Y20" s="27">
        <f t="shared" si="3"/>
        <v>138226</v>
      </c>
    </row>
    <row r="21" s="30" customFormat="1" ht="21" customHeight="1" spans="1:25">
      <c r="A21" s="13" t="s">
        <v>44</v>
      </c>
      <c r="B21" s="11">
        <v>486</v>
      </c>
      <c r="C21" s="11">
        <v>6</v>
      </c>
      <c r="D21" s="11">
        <v>780</v>
      </c>
      <c r="E21" s="11">
        <v>705</v>
      </c>
      <c r="F21" s="11">
        <v>0</v>
      </c>
      <c r="G21" s="11">
        <v>84</v>
      </c>
      <c r="H21" s="11">
        <v>0</v>
      </c>
      <c r="I21" s="35">
        <v>0</v>
      </c>
      <c r="J21" s="11">
        <v>18</v>
      </c>
      <c r="K21" s="11"/>
      <c r="L21" s="11">
        <v>38</v>
      </c>
      <c r="M21" s="11">
        <v>1</v>
      </c>
      <c r="N21" s="11"/>
      <c r="O21" s="11"/>
      <c r="P21" s="11"/>
      <c r="Q21" s="40"/>
      <c r="R21" s="11"/>
      <c r="S21" s="40"/>
      <c r="T21" s="40"/>
      <c r="U21" s="25">
        <f t="shared" si="0"/>
        <v>852</v>
      </c>
      <c r="V21" s="25">
        <f t="shared" si="1"/>
        <v>1338</v>
      </c>
      <c r="W21" s="26">
        <f t="shared" si="4"/>
        <v>1574</v>
      </c>
      <c r="X21" s="27">
        <f t="shared" si="2"/>
        <v>99324.5</v>
      </c>
      <c r="Y21" s="27">
        <f t="shared" si="3"/>
        <v>147438.5</v>
      </c>
    </row>
    <row r="22" s="30" customFormat="1" ht="21" customHeight="1" spans="1:25">
      <c r="A22" s="13" t="s">
        <v>45</v>
      </c>
      <c r="B22" s="11"/>
      <c r="C22" s="11"/>
      <c r="D22" s="11"/>
      <c r="E22" s="11"/>
      <c r="F22" s="11"/>
      <c r="G22" s="11"/>
      <c r="H22" s="11"/>
      <c r="I22" s="35"/>
      <c r="J22" s="11"/>
      <c r="K22" s="11"/>
      <c r="L22" s="11"/>
      <c r="M22" s="11"/>
      <c r="N22" s="11"/>
      <c r="O22" s="11"/>
      <c r="P22" s="11"/>
      <c r="Q22" s="40"/>
      <c r="R22" s="11"/>
      <c r="S22" s="40"/>
      <c r="T22" s="40"/>
      <c r="U22" s="25">
        <f t="shared" si="0"/>
        <v>0</v>
      </c>
      <c r="V22" s="25">
        <f t="shared" si="1"/>
        <v>0</v>
      </c>
      <c r="W22" s="26">
        <f t="shared" si="4"/>
        <v>0</v>
      </c>
      <c r="X22" s="27">
        <f t="shared" si="2"/>
        <v>0</v>
      </c>
      <c r="Y22" s="27">
        <f t="shared" si="3"/>
        <v>0</v>
      </c>
    </row>
    <row r="23" s="30" customFormat="1" ht="21" customHeight="1" spans="1:25">
      <c r="A23" s="13" t="s">
        <v>46</v>
      </c>
      <c r="B23" s="11">
        <v>341</v>
      </c>
      <c r="C23" s="11">
        <v>7</v>
      </c>
      <c r="D23" s="11">
        <v>787</v>
      </c>
      <c r="E23" s="11">
        <v>707</v>
      </c>
      <c r="F23" s="11">
        <v>0</v>
      </c>
      <c r="G23" s="11">
        <v>79</v>
      </c>
      <c r="H23" s="11">
        <v>0</v>
      </c>
      <c r="I23" s="35">
        <v>0</v>
      </c>
      <c r="J23" s="11">
        <v>14</v>
      </c>
      <c r="K23" s="11"/>
      <c r="L23" s="11">
        <v>12</v>
      </c>
      <c r="M23" s="11"/>
      <c r="N23" s="11"/>
      <c r="O23" s="11"/>
      <c r="P23" s="11"/>
      <c r="Q23" s="40"/>
      <c r="R23" s="11"/>
      <c r="S23" s="40"/>
      <c r="T23" s="40"/>
      <c r="U23" s="25">
        <f t="shared" si="0"/>
        <v>819</v>
      </c>
      <c r="V23" s="25">
        <f t="shared" si="1"/>
        <v>1160</v>
      </c>
      <c r="W23" s="26">
        <f t="shared" si="4"/>
        <v>1287</v>
      </c>
      <c r="X23" s="27">
        <f t="shared" si="2"/>
        <v>97267.5</v>
      </c>
      <c r="Y23" s="27">
        <f t="shared" si="3"/>
        <v>131026.5</v>
      </c>
    </row>
    <row r="24" s="30" customFormat="1" ht="21" customHeight="1" spans="1:25">
      <c r="A24" s="13" t="s">
        <v>47</v>
      </c>
      <c r="B24" s="11">
        <v>98</v>
      </c>
      <c r="C24" s="11">
        <v>3</v>
      </c>
      <c r="D24" s="11">
        <v>644</v>
      </c>
      <c r="E24" s="11">
        <v>577</v>
      </c>
      <c r="F24" s="11">
        <v>0</v>
      </c>
      <c r="G24" s="11">
        <v>96</v>
      </c>
      <c r="H24" s="11">
        <v>0</v>
      </c>
      <c r="I24" s="35">
        <v>0</v>
      </c>
      <c r="J24" s="11">
        <v>16</v>
      </c>
      <c r="K24" s="11"/>
      <c r="L24" s="11">
        <v>25</v>
      </c>
      <c r="M24" s="11"/>
      <c r="N24" s="11"/>
      <c r="O24" s="11"/>
      <c r="P24" s="11"/>
      <c r="Q24" s="40"/>
      <c r="R24" s="11"/>
      <c r="S24" s="40"/>
      <c r="T24" s="40"/>
      <c r="U24" s="25">
        <f t="shared" si="0"/>
        <v>717</v>
      </c>
      <c r="V24" s="25">
        <f t="shared" si="1"/>
        <v>815</v>
      </c>
      <c r="W24" s="26">
        <f t="shared" si="4"/>
        <v>1011</v>
      </c>
      <c r="X24" s="27">
        <f t="shared" si="2"/>
        <v>88110</v>
      </c>
      <c r="Y24" s="27">
        <f t="shared" si="3"/>
        <v>97812</v>
      </c>
    </row>
    <row r="25" s="30" customFormat="1" ht="21" customHeight="1" spans="1:25">
      <c r="A25" s="13" t="s">
        <v>48</v>
      </c>
      <c r="B25" s="11">
        <v>243</v>
      </c>
      <c r="C25" s="11">
        <v>57</v>
      </c>
      <c r="D25" s="11">
        <v>428</v>
      </c>
      <c r="E25" s="11">
        <v>307</v>
      </c>
      <c r="F25" s="11">
        <v>0</v>
      </c>
      <c r="G25" s="11">
        <v>73</v>
      </c>
      <c r="H25" s="11">
        <v>0</v>
      </c>
      <c r="I25" s="35">
        <v>0</v>
      </c>
      <c r="J25" s="11">
        <v>2</v>
      </c>
      <c r="K25" s="11"/>
      <c r="L25" s="11">
        <v>19</v>
      </c>
      <c r="M25" s="11"/>
      <c r="N25" s="11"/>
      <c r="O25" s="11"/>
      <c r="P25" s="11"/>
      <c r="Q25" s="40"/>
      <c r="R25" s="40"/>
      <c r="S25" s="40"/>
      <c r="T25" s="40"/>
      <c r="U25" s="25">
        <f t="shared" si="0"/>
        <v>458</v>
      </c>
      <c r="V25" s="25">
        <f t="shared" si="1"/>
        <v>701</v>
      </c>
      <c r="W25" s="26">
        <f t="shared" si="4"/>
        <v>850</v>
      </c>
      <c r="X25" s="27">
        <f t="shared" si="2"/>
        <v>60280</v>
      </c>
      <c r="Y25" s="27">
        <f t="shared" si="3"/>
        <v>84337</v>
      </c>
    </row>
    <row r="26" s="30" customFormat="1" ht="21" customHeight="1" spans="1:25">
      <c r="A26" s="13" t="s">
        <v>49</v>
      </c>
      <c r="B26" s="11"/>
      <c r="C26" s="11"/>
      <c r="D26" s="11"/>
      <c r="E26" s="11"/>
      <c r="F26" s="11"/>
      <c r="G26" s="11"/>
      <c r="H26" s="11"/>
      <c r="I26" s="35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4"/>
        <v>0</v>
      </c>
      <c r="X26" s="27">
        <f t="shared" si="2"/>
        <v>0</v>
      </c>
      <c r="Y26" s="27">
        <f t="shared" si="3"/>
        <v>0</v>
      </c>
    </row>
    <row r="27" s="30" customFormat="1" ht="21" customHeight="1" spans="1:25">
      <c r="A27" s="13"/>
      <c r="B27" s="11"/>
      <c r="C27" s="11"/>
      <c r="D27" s="11"/>
      <c r="E27" s="11"/>
      <c r="F27" s="11"/>
      <c r="G27" s="11"/>
      <c r="H27" s="11"/>
      <c r="I27" s="35"/>
      <c r="J27" s="11"/>
      <c r="K27" s="11"/>
      <c r="L27" s="11"/>
      <c r="M27" s="11"/>
      <c r="N27" s="11"/>
      <c r="O27" s="11"/>
      <c r="P27" s="11"/>
      <c r="Q27" s="35"/>
      <c r="R27" s="35"/>
      <c r="S27" s="35"/>
      <c r="T27" s="35"/>
      <c r="U27" s="25">
        <f t="shared" si="0"/>
        <v>0</v>
      </c>
      <c r="V27" s="25">
        <f t="shared" si="1"/>
        <v>0</v>
      </c>
      <c r="W27" s="26">
        <f t="shared" si="4"/>
        <v>0</v>
      </c>
      <c r="X27" s="27">
        <f t="shared" si="2"/>
        <v>0</v>
      </c>
      <c r="Y27" s="27">
        <f t="shared" si="3"/>
        <v>0</v>
      </c>
    </row>
    <row r="28" s="30" customFormat="1" ht="21" customHeight="1" spans="1:25">
      <c r="A28" s="13" t="s">
        <v>61</v>
      </c>
      <c r="B28" s="11">
        <v>0</v>
      </c>
      <c r="C28" s="11">
        <v>16</v>
      </c>
      <c r="D28" s="11">
        <v>67</v>
      </c>
      <c r="E28" s="11">
        <v>34</v>
      </c>
      <c r="F28" s="11">
        <v>0</v>
      </c>
      <c r="G28" s="11">
        <v>17</v>
      </c>
      <c r="H28" s="11">
        <v>0</v>
      </c>
      <c r="I28" s="35">
        <v>0</v>
      </c>
      <c r="J28" s="11">
        <v>2</v>
      </c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69</v>
      </c>
      <c r="V28" s="25">
        <f t="shared" si="1"/>
        <v>69</v>
      </c>
      <c r="W28" s="26">
        <f t="shared" si="4"/>
        <v>86</v>
      </c>
      <c r="X28" s="27">
        <f t="shared" si="2"/>
        <v>10444.5</v>
      </c>
      <c r="Y28" s="27">
        <f t="shared" si="3"/>
        <v>10444.5</v>
      </c>
    </row>
    <row r="29" s="30" customFormat="1" ht="21" customHeight="1" spans="1:25">
      <c r="A29" s="33" t="s">
        <v>51</v>
      </c>
      <c r="B29" s="11">
        <v>336</v>
      </c>
      <c r="C29" s="11">
        <v>151</v>
      </c>
      <c r="D29" s="11">
        <v>1006</v>
      </c>
      <c r="E29" s="11">
        <v>574</v>
      </c>
      <c r="F29" s="34">
        <v>2</v>
      </c>
      <c r="G29" s="11">
        <v>307</v>
      </c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1034</v>
      </c>
      <c r="V29" s="25">
        <f t="shared" si="1"/>
        <v>1370</v>
      </c>
      <c r="W29" s="26">
        <v>0</v>
      </c>
      <c r="X29" s="28">
        <f t="shared" si="2"/>
        <v>163449</v>
      </c>
      <c r="Y29" s="28">
        <f t="shared" si="3"/>
        <v>196713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2"/>
        <v>0</v>
      </c>
      <c r="Y30" s="27">
        <f t="shared" si="3"/>
        <v>0</v>
      </c>
    </row>
    <row r="31" s="30" customFormat="1" ht="21" customHeight="1" spans="1:25">
      <c r="A31" s="13" t="s">
        <v>52</v>
      </c>
      <c r="B31" s="36">
        <f t="shared" ref="B31:U31" si="5">SUM(B4:B30)</f>
        <v>7434</v>
      </c>
      <c r="C31" s="36">
        <f t="shared" si="5"/>
        <v>1113</v>
      </c>
      <c r="D31" s="36">
        <f t="shared" si="5"/>
        <v>14379</v>
      </c>
      <c r="E31" s="36">
        <f t="shared" si="5"/>
        <v>10765</v>
      </c>
      <c r="F31" s="36">
        <f t="shared" si="5"/>
        <v>6</v>
      </c>
      <c r="G31" s="36">
        <f t="shared" si="5"/>
        <v>2804</v>
      </c>
      <c r="H31" s="36">
        <f t="shared" si="5"/>
        <v>45</v>
      </c>
      <c r="I31" s="36">
        <f t="shared" si="5"/>
        <v>31</v>
      </c>
      <c r="J31" s="36">
        <f t="shared" si="5"/>
        <v>184</v>
      </c>
      <c r="K31" s="36">
        <f t="shared" si="5"/>
        <v>52</v>
      </c>
      <c r="L31" s="36">
        <f t="shared" si="5"/>
        <v>302</v>
      </c>
      <c r="M31" s="36">
        <f t="shared" si="5"/>
        <v>1</v>
      </c>
      <c r="N31" s="36">
        <f t="shared" si="5"/>
        <v>13</v>
      </c>
      <c r="O31" s="36">
        <f t="shared" si="5"/>
        <v>86</v>
      </c>
      <c r="P31" s="36">
        <f t="shared" si="5"/>
        <v>0</v>
      </c>
      <c r="Q31" s="36">
        <f t="shared" si="5"/>
        <v>0</v>
      </c>
      <c r="R31" s="36">
        <f t="shared" si="5"/>
        <v>0</v>
      </c>
      <c r="S31" s="36">
        <f t="shared" si="5"/>
        <v>0</v>
      </c>
      <c r="T31" s="36">
        <f t="shared" si="5"/>
        <v>0</v>
      </c>
      <c r="U31" s="15">
        <f t="shared" si="5"/>
        <v>15402</v>
      </c>
      <c r="V31" s="25">
        <f t="shared" si="1"/>
        <v>22836</v>
      </c>
      <c r="W31" s="26">
        <f>SUM(W4:W30)</f>
        <v>26187</v>
      </c>
      <c r="X31" s="29">
        <f>SUM(X4:X30)</f>
        <v>2089408</v>
      </c>
      <c r="Y31" s="27">
        <f t="shared" si="3"/>
        <v>2825374</v>
      </c>
    </row>
    <row r="32" s="30" customFormat="1" ht="21" customHeight="1" spans="1:25">
      <c r="A32" s="14" t="s">
        <v>53</v>
      </c>
      <c r="B32" s="15">
        <f t="shared" ref="B32:P32" si="6">B31*B3</f>
        <v>735966</v>
      </c>
      <c r="C32" s="15">
        <f t="shared" si="6"/>
        <v>146916</v>
      </c>
      <c r="D32" s="15">
        <f t="shared" si="6"/>
        <v>79084.5</v>
      </c>
      <c r="E32" s="15">
        <f t="shared" si="6"/>
        <v>1065735</v>
      </c>
      <c r="F32" s="15">
        <f t="shared" si="6"/>
        <v>330</v>
      </c>
      <c r="G32" s="37">
        <f t="shared" si="6"/>
        <v>740256</v>
      </c>
      <c r="H32" s="15">
        <f t="shared" si="6"/>
        <v>13950</v>
      </c>
      <c r="I32" s="15">
        <f t="shared" si="6"/>
        <v>8866</v>
      </c>
      <c r="J32" s="15">
        <f t="shared" si="6"/>
        <v>10120</v>
      </c>
      <c r="K32" s="15">
        <f t="shared" si="6"/>
        <v>0</v>
      </c>
      <c r="L32" s="15">
        <f t="shared" si="6"/>
        <v>9966</v>
      </c>
      <c r="M32" s="15">
        <f t="shared" si="6"/>
        <v>27.5</v>
      </c>
      <c r="N32" s="15">
        <f t="shared" si="6"/>
        <v>1859</v>
      </c>
      <c r="O32" s="15">
        <f t="shared" si="6"/>
        <v>12298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2089408</v>
      </c>
      <c r="Y32" s="29">
        <f>SUM(B32:P32)</f>
        <v>2825374</v>
      </c>
    </row>
    <row r="33" ht="21" customHeight="1"/>
  </sheetData>
  <protectedRanges>
    <protectedRange sqref="R4:T4 Q5:T28 M15:M20 M22:M28 M5:M12" name="区域1_3_1_1_2_1"/>
    <protectedRange sqref="E31:G31" name="区域1_1_1_2"/>
    <protectedRange sqref="R4:T4 Q5:T28" name="区域1_3_1_1_1"/>
    <protectedRange sqref="P4 P14 P13 P5:P12 P15:P28" name="区域1_8_1"/>
    <protectedRange sqref="H7 H5 H9 H11 H15:H16" name="区域1_3_2_2"/>
    <protectedRange sqref="R4:T4 Q5:T28" name="区域1_3_1_1_3_1"/>
    <protectedRange sqref="P4 P14 N15:P28 N5:P12 O13:P13" name="区域1_8_2_1_1"/>
    <protectedRange sqref="E31:G31" name="区域1_1_1"/>
    <protectedRange sqref="P4 P14 N15:P28 N5:P12 O13:P13" name="区域1_8"/>
    <protectedRange sqref="H7 H5 H9 H11 H15:H16" name="区域1_3_2_1"/>
    <protectedRange sqref="E31:G31" name="区域1_1"/>
    <protectedRange sqref="E31:G31" name="区域1_1_1_1"/>
    <protectedRange sqref="P4 P14 P13 P5:P12 P15:P28" name="区域1_8_1_2"/>
    <protectedRange sqref="B25:C27 B7:C7 B5:C5 B19:C19 B9:C9 B11:C11 B15:C16 B22:C22" name="区域1"/>
    <protectedRange sqref="R4:T4 Q5:T28" name="区域1_3_1_1_1_2"/>
    <protectedRange sqref="P4 P14 P13 P5:P12 P15:P28" name="区域1_8_1_3"/>
    <protectedRange sqref="P4:P28" name="区域1_8_1_3_1"/>
    <protectedRange sqref="E31:G31" name="区域1_1_1_3"/>
    <protectedRange sqref="R4:T4 Q5:T28" name="区域1_3_1_1_3_1_1"/>
    <protectedRange sqref="N29:P31" name="区域1_7_1"/>
    <protectedRange sqref="E25:E27 E7 E5 E19 E9 E11 E15:E16 E22" name="区域1_9"/>
    <protectedRange sqref="D25:D27 D7 D5 D19 D9 D11 D15:D16 D22" name="区域1_13"/>
    <protectedRange sqref="E29" name="区域1_17"/>
    <protectedRange sqref="R4:T4 Q5:T28 M15:M20 M22:M28 M5:M12" name="区域1_3_1_1_2_1_1"/>
    <protectedRange sqref="E31:G31" name="区域1_1_1_2_1"/>
    <protectedRange sqref="R4:T4 Q5:T28" name="区域1_3_1_1_1_1"/>
    <protectedRange sqref="P4 P14 P13 P5:P12 P15:P28" name="区域1_8_1_1"/>
    <protectedRange sqref="H7 H5 H9 H11 H15:H16" name="区域1_3_2_2_1"/>
    <protectedRange sqref="R4:T4 Q5:T28" name="区域1_3_1_1_3_1_2"/>
    <protectedRange sqref="P4 P14 N15:P28 N5:P12 O13:P13" name="区域1_8_2_1_1_1"/>
    <protectedRange sqref="E31:G31" name="区域1_1_1_4"/>
    <protectedRange sqref="P4 P14 N15:P28 N5:P12 O13:P13" name="区域1_8_2"/>
    <protectedRange sqref="H7 H5 H9 H11 H15:H16" name="区域1_3_2_1_2"/>
    <protectedRange sqref="E31:G31" name="区域1_1_2"/>
    <protectedRange sqref="E31:G31" name="区域1_1_1_1_1"/>
    <protectedRange sqref="P4 P14 P13 P5:P12 P15:P28" name="区域1_8_1_2_1"/>
    <protectedRange sqref="B25:C27 B7:C7 B5:C5 B19:C19 B9:C9 B11:C11 B15:C16 B22:C22" name="区域1_5"/>
    <protectedRange sqref="R4:T4 Q5:T28" name="区域1_3_1_1_1_2_1"/>
    <protectedRange sqref="P4 P14 P13 P5:P12 P15:P28" name="区域1_8_1_3_2"/>
    <protectedRange sqref="P4:P28" name="区域1_8_1_3_1_1"/>
    <protectedRange sqref="E31:G31" name="区域1_1_1_3_1"/>
    <protectedRange sqref="R4:T4 Q5:T28" name="区域1_3_1_1_3_1_1_1"/>
    <protectedRange sqref="N29:P31" name="区域1_7_1_1"/>
    <protectedRange sqref="E25:E27 E7 E5 E19 E9 E11 E15:E16 E22" name="区域1_9_1"/>
    <protectedRange sqref="D25:D27 D7 D5 D19 D9 D11 D15:D16 D22" name="区域1_13_1"/>
    <protectedRange sqref="E29" name="区域1_17_1"/>
    <protectedRange sqref="E33:G33 E31:G31" name="区域1_1_2_1"/>
    <protectedRange sqref="E33:G33 E31:G31" name="区域1_1_1_4_1"/>
    <protectedRange sqref="P4 P20 P15 R20:R24 R5:R18 P14 P16:P18 P13 P5:P12 P21:P28" name="区域1_8_1_1_1"/>
    <protectedRange sqref="R4:T4 M5:M12 M16:M18 Q20:Q24 S20:T24 Q25:T28 Q5:Q18 S5:T18 M22:M28" name="区域1_3_1_1"/>
    <protectedRange sqref="P4 P20 P15 R20:R24 R5:R18 P14 P16:P18 P13 P5:P12 P21:P28" name="区域1_8_2_1"/>
    <protectedRange sqref="H16 H5 H7 H9" name="区域1_3_2_3_1"/>
    <protectedRange sqref="R4:T4 Q20:Q24 S20:T24 Q25:T28 Q5:Q18 S5:T18" name="区域1_3_1_1_3"/>
    <protectedRange sqref="P4 P20 N21:P28 N5:P12 O13:P13 P15 N16:P18 R20:R24 R5:R18 P14" name="区域1_8_2_1_2"/>
    <protectedRange sqref="E33:G33 E31:G31" name="区域1_1_3"/>
    <protectedRange sqref="E29:G31 E33:G33" name="区域1_1_1_1_1_1"/>
    <protectedRange sqref="R4:T4 Q20:Q24 S20:T24 Q25:T28 Q5:Q18 S5:T18" name="区域1_3_1_1_1_1_1"/>
    <protectedRange sqref="P4 P20 P15 R20:R24 R5:R18 P14 P16:P18 P13 P5:P12 P21:P28" name="区域1_8_1_2_1_1"/>
    <protectedRange sqref="E33:G33 E31:G31" name="区域1_1_1_2_1_1"/>
    <protectedRange sqref="D25:D26 D16 D5 D7 D9" name="区域1_4_1_1_1"/>
    <protectedRange sqref="E25:G26 E16:G16 E5:G5 E7:G7 E9:G9" name="区域1_2_1_2"/>
    <protectedRange sqref="N29:P31" name="区域1_7"/>
    <protectedRange sqref="R4:T4 Q20:Q24 S20:T24 Q25:T28 Q5:Q18 S5:T18" name="区域1_3_1_1_1_3"/>
    <protectedRange sqref="E33:G33 E31:G31" name="区域1_1_3_1"/>
    <protectedRange sqref="P4 P20 P15 R20:R24 R5:R18 P14 P16:P18 P13 P5:P12 P21:P28" name="区域1_8_1_4"/>
    <protectedRange sqref="E33:G33 E31:G31" name="区域1_1_1_1_1_1_1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3:G33 E31:G31" name="区域1_1_1_3_1_1"/>
    <protectedRange sqref="P4 P20 P15 R20:R24 R5:R18 P14 P16:P18 P13 P5:P12 P21:P28" name="区域1_8_2_2"/>
    <protectedRange sqref="R4:T4 Q20:Q24 S20:T24 Q25:T28 Q5:Q18 S5:T18" name="区域1_3_1_1_3_1_2_1"/>
    <protectedRange sqref="E33:G33 E31:G31" name="区域1_1_1_2_1_1_1"/>
    <protectedRange sqref="I16 I5 I7 I9" name="区域1_5_2_1"/>
    <protectedRange sqref="P29:P30 N31:P31" name="区域1_7_1_1_1"/>
    <protectedRange sqref="P4:P18 P20:P28 R5:R18 R20:R24" name="区域1_8_2_1_1_1_1"/>
    <protectedRange sqref="C25:C26 C16 C5 C7 C9" name="区域1_3_3"/>
    <protectedRange sqref="G25:G26 G16 G5 G7 G9" name="区域1_10"/>
    <protectedRange sqref="K27:L28 J25:L26 L12 J16:L16 L17 L22 J5:L5 K6:L6 J7:L7 K8:L8 J9:L9" name="区域1_12_1_1"/>
    <protectedRange sqref="D25:D26 D16 D5 D7 D9" name="区域1_13_1_1"/>
    <protectedRange sqref="J29" name="区域1_15_1_1"/>
    <protectedRange sqref="E29" name="区域1_17_1_1"/>
    <protectedRange sqref="E19:G19" name="区域1_1_1_1_2"/>
    <protectedRange sqref="E19:G19" name="区域1_1_4"/>
    <protectedRange sqref="E19:G19" name="区域1_1_1_4_1_1"/>
    <protectedRange sqref="N19:P19 R19" name="区域1_7_2"/>
    <protectedRange sqref="E28:G28" name="区域1_1_1_2_4"/>
    <protectedRange sqref="E4:G4" name="区域1_1_1_2_5"/>
    <protectedRange sqref="E23:G23" name="区域1_1_1_2_6"/>
    <protectedRange sqref="E20:G20" name="区域1_1_1_2_7"/>
    <protectedRange sqref="E24:G24" name="区域1_1_1_1_8"/>
    <protectedRange sqref="E27:G27" name="区域1_1_10"/>
    <protectedRange sqref="E27:G27" name="区域1_1_1_10"/>
    <protectedRange sqref="E22:G22" name="区域1_1_11"/>
    <protectedRange sqref="E22:G22" name="区域1_1_1_11"/>
    <protectedRange sqref="E21:G21" name="区域1_1_1_1_11"/>
    <protectedRange sqref="E12:G12" name="区域1_1_1_2_12"/>
    <protectedRange sqref="E13:G13" name="区域1_1_1_2_13"/>
    <protectedRange sqref="E15:G15" name="区域1_1_1_1_14"/>
    <protectedRange sqref="E15:G15" name="区域1_1_1_2_14"/>
    <protectedRange sqref="E10:G10" name="区域1_1_1_1_15"/>
    <protectedRange sqref="E11:G11" name="区域1_1_17"/>
    <protectedRange sqref="E11:G11" name="区域1_1_1_17"/>
    <protectedRange sqref="E18:G18" name="区域1_1_1_1_17"/>
    <protectedRange sqref="E17:G17" name="区域1_1_1_1_18"/>
    <protectedRange sqref="E23:G23" name="区域1_1_7"/>
    <protectedRange sqref="E23:G23" name="区域1_1_1_7"/>
    <protectedRange sqref="E24:G24" name="区域1_1_9"/>
    <protectedRange sqref="E24:G24" name="区域1_1_1_9"/>
    <protectedRange sqref="E28:G28" name="区域1_1_5"/>
    <protectedRange sqref="E28:G28" name="区域1_1_1_5"/>
    <protectedRange sqref="E20:G20" name="区域1_1_8"/>
    <protectedRange sqref="E20:G20" name="区域1_1_1_8"/>
    <protectedRange sqref="E6:G6" name="区域1_1_20"/>
    <protectedRange sqref="E6:G6" name="区域1_1_1_20"/>
    <protectedRange sqref="E8:G8" name="区域1_1_21"/>
    <protectedRange sqref="E8:G8" name="区域1_1_1_21"/>
    <protectedRange sqref="E4:G4" name="区域1_1_6"/>
    <protectedRange sqref="E4:G4" name="区域1_1_1_6"/>
    <protectedRange sqref="N4:O4" name="区域1_7_3"/>
    <protectedRange sqref="E18:G18" name="区域1_1_1_1_26"/>
    <protectedRange sqref="E18:G18" name="区域1_1_1_2_26"/>
    <protectedRange sqref="E12:G12" name="区域1_1_1_2_27"/>
    <protectedRange sqref="E12:G12" name="区域1_1_1_1_12"/>
    <protectedRange sqref="E12:G12" name="区域1_1_1_2_28"/>
    <protectedRange sqref="E17:G17" name="区域1_1_1_1_28"/>
    <protectedRange sqref="E17:G17" name="区域1_1_1_2_29"/>
    <protectedRange sqref="E10:G10" name="区域1_1_1_1_29"/>
    <protectedRange sqref="E10:G10" name="区域1_1_1_2_30"/>
    <protectedRange sqref="E14:G14" name="区域1_1_1_1_30"/>
    <protectedRange sqref="E14:G14" name="区域1_1_1_2_31"/>
    <protectedRange sqref="E21:G21" name="区域1_1_12"/>
    <protectedRange sqref="E21:G21" name="区域1_1_1_12"/>
    <protectedRange sqref="E13:G13" name="区域1_1_14"/>
    <protectedRange sqref="E13:G13" name="区域1_1_1_14"/>
    <protectedRange sqref="N13" name="区域1_7_5"/>
    <protectedRange sqref="H7 H5 H9 H11 H15:H16" name="区域1_3"/>
    <protectedRange sqref="M15:M20 M22:M28 M5:M12" name="区域1_3_1_1_2_1_2"/>
    <protectedRange sqref="E29:G30" name="区域1_1_1_2_2"/>
    <protectedRange sqref="M15:M20 M22:M28 M5:M12" name="区域1_3_1_1_1_4"/>
    <protectedRange sqref="N15:O28 N5:O12 O13" name="区域1_8_1_5"/>
    <protectedRange sqref="H7 H5 H9 H11 H15:H16" name="区域1_3_1_2"/>
    <protectedRange sqref="H7 H5 H9 H11 H15:H16" name="区域1_3_2_2_2"/>
    <protectedRange sqref="M15:M20 M22:M28 M5:M12" name="区域1_3_1_1_3_1_3"/>
    <protectedRange sqref="H7 H5 H9 H11 H15:H16" name="区域1_3_2_1_1"/>
    <protectedRange sqref="N15:O28 N5:O12 O13" name="区域1_8_2_1_1_2"/>
    <protectedRange sqref="E29:G30" name="区域1_1_1_13"/>
    <protectedRange sqref="B25:C27 B7:C7 B5:C5 B19:C19 B9:C9 B11:C11 B15:C16 B22:C22" name="区域1_4"/>
    <protectedRange sqref="N15:O28 N5:O12 O13" name="区域1_8_3"/>
    <protectedRange sqref="H7 H5 H9 H11 H15:H16" name="区域1_3_2"/>
    <protectedRange sqref="H7 H5 H9 H11 H15:H16" name="区域1_3_2_1_3"/>
    <protectedRange sqref="E29:G30" name="区域1_1_13"/>
    <protectedRange sqref="E29:G30" name="区域1_1_1_1_3"/>
    <protectedRange sqref="N15:O28 N5:O12 O13" name="区域1_8_1_2_2"/>
    <protectedRange sqref="M23:M24 J25:M27 K28:M28 M20 K6:M6 J7:M7 K8:M8 J5:M5 L17:M18 J19:M19 L12:M12 J9:M9 M10 J11:M11 J15:M16 J22:M22" name="区域1_6_1_1"/>
    <protectedRange sqref="B25:C27 B7:C7 B5:C5 B19:C19 B9:C9 B11:C11 B15:C16 B22:C22" name="区域1_2"/>
    <protectedRange sqref="I7 I5 I9 I11 I15:I16" name="区域1_5_1"/>
    <protectedRange sqref="N15:O28 N5:O12 O13" name="区域1_8_1_3_3"/>
    <protectedRange sqref="F25:F27 F7 F5 F19 F9 F11 F15:F16 F22" name="区域1_2_1"/>
    <protectedRange sqref="E30:G30 F29" name="区域1_1_1_3_2"/>
    <protectedRange sqref="F25:F27 F7 F5 F19 F9 F11 F15:F16 F22" name="区域1_2_1_1"/>
    <protectedRange sqref="N29:O30" name="区域1_7_1_2"/>
    <protectedRange sqref="B25:B27 B7 B5 B19 B9 B11 B15:B16 B22" name="区域1_4_2"/>
    <protectedRange sqref="E25:E27 E7 E5 E19 E9 E11 E15:E16 E22" name="区域1_9_2"/>
    <protectedRange sqref="J25:L27 K28:L28 K6:L6 J7:L7 K8:L8 J5:L5 L17:L18 J19:L19 L12 J9:L9 J11:L11 J13:L13 J15:L16 J22:L22" name="区域1_12"/>
    <protectedRange sqref="D25:D27 D7 D5 D19 D9 D11 D15:D16 D22" name="区域1_13_2"/>
    <protectedRange sqref="J29" name="区域1_15"/>
    <protectedRange sqref="E29" name="区域1_17_2"/>
    <protectedRange sqref="H7 H5 H9 H11 H15:H16" name="区域1_3_1"/>
    <protectedRange sqref="M15:M20 M22:M28 M5:M12" name="区域1_3_1_1_2_1_1_1"/>
    <protectedRange sqref="E29:G30" name="区域1_1_1_2_1_2"/>
    <protectedRange sqref="M15:M20 M22:M28 M5:M12" name="区域1_3_1_1_1_1_2"/>
    <protectedRange sqref="N15:O28 N5:O12 O13" name="区域1_8_1_1_2"/>
    <protectedRange sqref="H7 H5 H9 H11 H15:H16" name="区域1_3_1_2_1"/>
    <protectedRange sqref="H7 H5 H9 H11 H15:H16" name="区域1_3_2_2_1_1"/>
    <protectedRange sqref="M15:M20 M22:M28 M5:M12" name="区域1_3_1_1_3_1_2_2"/>
    <protectedRange sqref="H7 H5 H9 H11 H15:H16" name="区域1_3_2_1_1_1"/>
    <protectedRange sqref="N15:O28 N5:O12 O13" name="区域1_8_2_1_1_1_2"/>
    <protectedRange sqref="E29:G30" name="区域1_1_1_4_2"/>
    <protectedRange sqref="B25:C27 B7:C7 B5:C5 B19:C19 B9:C9 B11:C11 B15:C16 B22:C22" name="区域1_4_1"/>
    <protectedRange sqref="N15:O28 N5:O12 O13" name="区域1_8_2_3"/>
    <protectedRange sqref="H7 H5 H9 H11 H15:H16" name="区域1_3_2_3"/>
    <protectedRange sqref="H7 H5 H9 H11 H15:H16" name="区域1_3_2_1_2_1"/>
    <protectedRange sqref="E29:G30" name="区域1_1_2_2"/>
    <protectedRange sqref="E29:G30" name="区域1_1_1_1_1_2"/>
    <protectedRange sqref="N15:O28 N5:O12 O13" name="区域1_8_1_2_1_2"/>
    <protectedRange sqref="M23:M24 J25:M27 K28:M28 M20 K6:M6 J7:M7 K8:M8 J5:M5 L17:M18 J19:M19 L12:M12 J9:M9 M10 J11:M11 J15:M16 J22:M22" name="区域1_6_1_1_1"/>
    <protectedRange sqref="B25:C27 B7:C7 B5:C5 B19:C19 B9:C9 B11:C11 B15:C16 B22:C22" name="区域1_5_2"/>
    <protectedRange sqref="I7 I5 I9 I11 I15:I16" name="区域1_5_1_1"/>
    <protectedRange sqref="N15:O28 N5:O12 O13" name="区域1_8_1_3_2_2"/>
    <protectedRange sqref="F25:F27 F7 F5 F19 F9 F11 F15:F16 F22" name="区域1_2_1_3"/>
    <protectedRange sqref="E30:G30 F29" name="区域1_1_1_3_1_2"/>
    <protectedRange sqref="F25:F27 F7 F5 F19 F9 F11 F15:F16 F22" name="区域1_2_1_1_1"/>
    <protectedRange sqref="N29:O30" name="区域1_7_1_1_2"/>
    <protectedRange sqref="B25:B27 B7 B5 B19 B9 B11 B15:B16 B22" name="区域1_4_2_1"/>
    <protectedRange sqref="E25:E27 E7 E5 E19 E9 E11 E15:E16 E22" name="区域1_9_1_1"/>
    <protectedRange sqref="J25:L27 K28:L28 K6:L6 J7:L7 K8:L8 J5:L5 L17:L18 J19:L19 L12 J9:L9 J11:L11 J13:L13 J15:L16 J22:L22" name="区域1_12_1"/>
    <protectedRange sqref="D25:D27 D7 D5 D19 D9 D11 D15:D16 D22" name="区域1_13_1_2"/>
    <protectedRange sqref="J29" name="区域1_15_1"/>
    <protectedRange sqref="E29" name="区域1_17_1_2"/>
    <protectedRange sqref="E29:G30" name="区域1_1_2_1_1"/>
    <protectedRange sqref="E29:G30" name="区域1_1_1_4_1_2"/>
    <protectedRange sqref="N21:O28 N5:O12 O13 N16:O18" name="区域1_8_1_1_1_1"/>
    <protectedRange sqref="B25:C26 B16:C16 B5:C5 B7:C7 B9:C9" name="区域1_4_1_1"/>
    <protectedRange sqref="M5:M12 M16:M18 M22:M28" name="区域1_3_1_1_4"/>
    <protectedRange sqref="N21:O28 N5:O12 O13 N16:O18" name="区域1_8_2_1_3"/>
    <protectedRange sqref="H16 H5 H7 H9" name="区域1_3_1_3"/>
    <protectedRange sqref="H16 H5 H7 H9" name="区域1_3_2_3_1_1"/>
    <protectedRange sqref="M5:M12 M16:M18 M22:M28" name="区域1_3_1_1_3_2"/>
    <protectedRange sqref="H16 H5 H7 H9" name="区域1_3_2_1_2_1_1"/>
    <protectedRange sqref="N21:O28 N5:O12 O13 N16:O18" name="区域1_8_2_1_2_1"/>
    <protectedRange sqref="E29:G30" name="区域1_1_3_2"/>
    <protectedRange sqref="K27:M28 M23:M24 J25:M26 L12:M12 M10:M11 M18 J16:M16 L17:M17 L22:M22 J5:M5 K6:M6 J7:M7 K8:M8 J9:M9" name="区域1_6"/>
    <protectedRange sqref="E29:G30" name="区域1_1_1_1_1_1_2"/>
    <protectedRange sqref="M5:M12 M16:M18 M22:M28" name="区域1_3_1_1_1_1_1_1"/>
    <protectedRange sqref="N21:O28 N5:O12 O13 N16:O18" name="区域1_8_1_2_1_1_1"/>
    <protectedRange sqref="E29:G30" name="区域1_1_1_2_1_1_2"/>
    <protectedRange sqref="K27:M28 M23:M24 J25:M26 L12:M12 M10:M11 M18 J16:M16 L17:M17 L22:M22 J5:M5 K6:M6 J7:M7 K8:M8 J9:M9" name="区域1_6_1"/>
    <protectedRange sqref="D25:D26 D16 D5 D7 D9" name="区域1_4_1_1_1_1"/>
    <protectedRange sqref="B25:C26 B16:C16 B5:C5 B7:C7 B9:C9" name="区域1_5_2_2"/>
    <protectedRange sqref="E25:G26 E16:G16 E5:G5 E7:G7 E9:G9" name="区域1_2_1_2_1"/>
    <protectedRange sqref="I16 I5 I7 I9" name="区域1_5_1_1_1"/>
    <protectedRange sqref="N29:O30" name="区域1_7_4"/>
    <protectedRange sqref="E30:G30 F29" name="区域1_1_3_1_1"/>
    <protectedRange sqref="N21:O28 N5:O12 O13 N16:O18" name="区域1_8_1_4_1"/>
    <protectedRange sqref="E30:G30 F29" name="区域1_1_1_1_1_1_1_1"/>
    <protectedRange sqref="F25:F26 F16 F5 F7 F9" name="区域1_2_1_3_1"/>
    <protectedRange sqref="E30:G30 F29" name="区域1_1_1_3_1_1_1"/>
    <protectedRange sqref="N21:O28 N5:O12 O13 N16:O18" name="区域1_8_2_2_1"/>
    <protectedRange sqref="E30:G30 F29" name="区域1_1_1_2_1_1_1_1"/>
    <protectedRange sqref="F25:F26 F16 F5 F7 F9" name="区域1_2_1_3_1_1"/>
    <protectedRange sqref="I16 I5 I7 I9" name="区域1_5_2_1_1"/>
    <protectedRange sqref="N29:O30" name="区域1_7_1_1_1_1"/>
    <protectedRange sqref="B25:B26 B16 B5 B7 B9" name="区域1_4_2_1_1"/>
    <protectedRange sqref="C25:C26 C16 C5 C7 C9" name="区域1_3_3_1"/>
    <protectedRange sqref="E25:E26 E16 E5 E7 E9" name="区域1_9_1_1_1"/>
    <protectedRange sqref="G25:G26 G16 G5 G7 G9" name="区域1_10_1"/>
    <protectedRange sqref="H25:H26 H16 H5 H7 H9" name="区域1_3_3_1_1"/>
    <protectedRange sqref="K27:L28 J25:L26 L12 J16:L16 L17 L22 J5:L5 K6:L6 J7:L7 K8:L8 J9:L9" name="区域1_12_1_1_1"/>
    <protectedRange sqref="M5:O12 O13 M16:O18 N21:O21 M22:O28" name="区域1_6_2"/>
    <protectedRange sqref="D25:D26 D16 D5 D7 D9" name="区域1_13_1_1_1"/>
    <protectedRange sqref="D29" name="区域1_14"/>
    <protectedRange sqref="J29" name="区域1_15_1_1_1"/>
    <protectedRange sqref="B29:C29" name="区域1_16"/>
    <protectedRange sqref="E29" name="区域1_17_1_1_1"/>
    <protectedRange sqref="G29" name="区域1_18"/>
    <protectedRange sqref="E19:G19" name="区域1_1_1_1_2_1"/>
    <protectedRange sqref="E19:G19" name="区域1_1_1_2_2_1"/>
    <protectedRange sqref="E19:G19" name="区域1_1_4_1"/>
    <protectedRange sqref="E19:G19" name="区域1_1_1_1_3_1"/>
    <protectedRange sqref="E19:G19" name="区域1_1_1_4_1_1_1"/>
    <protectedRange sqref="E19:G19" name="区域1_1_1_2_3"/>
    <protectedRange sqref="N19:O19" name="区域1_7_2_1"/>
    <protectedRange sqref="E28:G28" name="区域1_1_1_1_4"/>
    <protectedRange sqref="E28:G28" name="区域1_1_1_2_4_1"/>
    <protectedRange sqref="E4:G4" name="区域1_1_1_1_5"/>
    <protectedRange sqref="E4:G4" name="区域1_1_1_2_5_1"/>
    <protectedRange sqref="E23:G23" name="区域1_1_1_1_6"/>
    <protectedRange sqref="E23:G23" name="区域1_1_1_2_6_1"/>
    <protectedRange sqref="E20:G20" name="区域1_1_1_1_7"/>
    <protectedRange sqref="E20:G20" name="区域1_1_1_2_7_1"/>
    <protectedRange sqref="N20:O20" name="区域1_7_4_1"/>
    <protectedRange sqref="E24:G24" name="区域1_1_1_1_8_1"/>
    <protectedRange sqref="E24:G24" name="区域1_1_1_2_8"/>
    <protectedRange sqref="E27:G27" name="区域1_1_10_1"/>
    <protectedRange sqref="E27:G27" name="区域1_1_1_1_9"/>
    <protectedRange sqref="E27:G27" name="区域1_1_1_10_1"/>
    <protectedRange sqref="E27:G27" name="区域1_1_1_2_9"/>
    <protectedRange sqref="E22:G22" name="区域1_1_11_1"/>
    <protectedRange sqref="E22:G22" name="区域1_1_1_1_10"/>
    <protectedRange sqref="E22:G22" name="区域1_1_1_11_1"/>
    <protectedRange sqref="E22:G22" name="区域1_1_1_2_10"/>
    <protectedRange sqref="E21:G21" name="区域1_1_1_1_11_1"/>
    <protectedRange sqref="E21:G21" name="区域1_1_1_2_11"/>
    <protectedRange sqref="E12:G12" name="区域1_1_1_2_12_1"/>
    <protectedRange sqref="E13:G13" name="区域1_1_1_1_13"/>
    <protectedRange sqref="E13:G13" name="区域1_1_1_2_13_1"/>
    <protectedRange sqref="E15:G15" name="区域1_1_15"/>
    <protectedRange sqref="E15:G15" name="区域1_1_1_1_14_1"/>
    <protectedRange sqref="E15:G15" name="区域1_1_1_15"/>
    <protectedRange sqref="E15:G15" name="区域1_1_1_2_14_1"/>
    <protectedRange sqref="N15:O15" name="区域1_7_6"/>
    <protectedRange sqref="E10:G10" name="区域1_1_1_1_15_1"/>
    <protectedRange sqref="E10:G10" name="区域1_1_1_2_15"/>
    <protectedRange sqref="E11:G11" name="区域1_1_17_1"/>
    <protectedRange sqref="E11:G11" name="区域1_1_1_1_16"/>
    <protectedRange sqref="E11:G11" name="区域1_1_1_17_1"/>
    <protectedRange sqref="E11:G11" name="区域1_1_1_2_16"/>
    <protectedRange sqref="E18:G18" name="区域1_1_1_1_17_1"/>
    <protectedRange sqref="E18:G18" name="区域1_1_1_2_17"/>
    <protectedRange sqref="E17:G17" name="区域1_1_1_1_18_1"/>
    <protectedRange sqref="E17:G17" name="区域1_1_1_2_18"/>
    <protectedRange sqref="E23:G23" name="区域1_1_7_1"/>
    <protectedRange sqref="E23:G23" name="区域1_1_1_1_19"/>
    <protectedRange sqref="E23:G23" name="区域1_1_1_7_1"/>
    <protectedRange sqref="E23:G23" name="区域1_1_1_2_19"/>
    <protectedRange sqref="E24:G24" name="区域1_1_9_1"/>
    <protectedRange sqref="E24:G24" name="区域1_1_1_1_20"/>
    <protectedRange sqref="E24:G24" name="区域1_1_1_9_1"/>
    <protectedRange sqref="E24:G24" name="区域1_1_1_2_20"/>
    <protectedRange sqref="E28:G28" name="区域1_1_5_1"/>
    <protectedRange sqref="E28:G28" name="区域1_1_1_1_21"/>
    <protectedRange sqref="E28:G28" name="区域1_1_1_5_1"/>
    <protectedRange sqref="E28:G28" name="区域1_1_1_2_21"/>
    <protectedRange sqref="E20:G20" name="区域1_1_8_1"/>
    <protectedRange sqref="E20:G20" name="区域1_1_1_1_22"/>
    <protectedRange sqref="E20:G20" name="区域1_1_1_8_1"/>
    <protectedRange sqref="E20:G20" name="区域1_1_1_2_22"/>
    <protectedRange sqref="E6:G6" name="区域1_1_20_1"/>
    <protectedRange sqref="E6:G6" name="区域1_1_1_1_23"/>
    <protectedRange sqref="E6:G6" name="区域1_1_1_20_1"/>
    <protectedRange sqref="E6:G6" name="区域1_1_1_2_23"/>
    <protectedRange sqref="E8:G8" name="区域1_1_21_1"/>
    <protectedRange sqref="E8:G8" name="区域1_1_1_1_24"/>
    <protectedRange sqref="E8:G8" name="区域1_1_1_21_1"/>
    <protectedRange sqref="E8:G8" name="区域1_1_1_2_24"/>
    <protectedRange sqref="E4:G4" name="区域1_1_6_1"/>
    <protectedRange sqref="E4:G4" name="区域1_1_1_1_25"/>
    <protectedRange sqref="E4:G4" name="区域1_1_1_6_1"/>
    <protectedRange sqref="E4:G4" name="区域1_1_1_2_25"/>
    <protectedRange sqref="N4:O4" name="区域1_7_3_1"/>
    <protectedRange sqref="E18:G18" name="区域1_1_18"/>
    <protectedRange sqref="E18:G18" name="区域1_1_1_1_26_1"/>
    <protectedRange sqref="E18:G18" name="区域1_1_1_18"/>
    <protectedRange sqref="E18:G18" name="区域1_1_1_2_26_1"/>
    <protectedRange sqref="E12:G12" name="区域1_1_1_1_27"/>
    <protectedRange sqref="E12:G12" name="区域1_1_1_2_27_1"/>
    <protectedRange sqref="E12:G12" name="区域1_1_13_1"/>
    <protectedRange sqref="E12:G12" name="区域1_1_1_1_12_1"/>
    <protectedRange sqref="E12:G12" name="区域1_1_1_13_1"/>
    <protectedRange sqref="E12:G12" name="区域1_1_1_2_28_1"/>
    <protectedRange sqref="E17:G17" name="区域1_1_19"/>
    <protectedRange sqref="E17:G17" name="区域1_1_1_1_28_1"/>
    <protectedRange sqref="E17:G17" name="区域1_1_1_19"/>
    <protectedRange sqref="E17:G17" name="区域1_1_1_2_29_1"/>
    <protectedRange sqref="E10:G10" name="区域1_1_16"/>
    <protectedRange sqref="E10:G10" name="区域1_1_1_1_29_1"/>
    <protectedRange sqref="E10:G10" name="区域1_1_1_16"/>
    <protectedRange sqref="E10:G10" name="区域1_1_1_2_30_1"/>
    <protectedRange sqref="E14:G14" name="区域1_1_22"/>
    <protectedRange sqref="E14:G14" name="区域1_1_1_1_30_1"/>
    <protectedRange sqref="E14:G14" name="区域1_1_1_22"/>
    <protectedRange sqref="E14:G14" name="区域1_1_1_2_31_1"/>
    <protectedRange sqref="N14:O14" name="区域1_7_7"/>
    <protectedRange sqref="E21:G21" name="区域1_1_12_1"/>
    <protectedRange sqref="E21:G21" name="区域1_1_1_1_31"/>
    <protectedRange sqref="E21:G21" name="区域1_1_1_12_1"/>
    <protectedRange sqref="E21:G21" name="区域1_1_1_2_32"/>
    <protectedRange sqref="E13:G13" name="区域1_1_14_1"/>
    <protectedRange sqref="E13:G13" name="区域1_1_1_1_32"/>
    <protectedRange sqref="E13:G13" name="区域1_1_1_14_1"/>
    <protectedRange sqref="E13:G13" name="区域1_1_1_2_33"/>
    <protectedRange sqref="N13" name="区域1_7_5_1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workbookViewId="0">
      <selection activeCell="AD51" sqref="AD51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38" t="s">
        <v>65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/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>
        <v>64</v>
      </c>
      <c r="C4" s="11">
        <v>47</v>
      </c>
      <c r="D4" s="11">
        <v>548</v>
      </c>
      <c r="E4" s="11">
        <v>363</v>
      </c>
      <c r="F4" s="11">
        <v>3</v>
      </c>
      <c r="G4" s="11">
        <v>191</v>
      </c>
      <c r="H4" s="11">
        <v>10</v>
      </c>
      <c r="I4" s="11">
        <v>2</v>
      </c>
      <c r="J4" s="11">
        <v>3</v>
      </c>
      <c r="K4" s="11"/>
      <c r="L4" s="11">
        <v>19</v>
      </c>
      <c r="M4" s="11"/>
      <c r="N4" s="11"/>
      <c r="O4" s="11">
        <v>14</v>
      </c>
      <c r="P4" s="11"/>
      <c r="Q4" s="41">
        <v>270</v>
      </c>
      <c r="R4" s="42">
        <v>86</v>
      </c>
      <c r="S4" s="42">
        <v>2</v>
      </c>
      <c r="T4" s="42"/>
      <c r="U4" s="25">
        <f t="shared" ref="U4:U29" si="0">SUM(C4:P4)-D4</f>
        <v>652</v>
      </c>
      <c r="V4" s="25">
        <f t="shared" ref="V4:V31" si="1">SUM(B4:P4)-D4</f>
        <v>716</v>
      </c>
      <c r="W4" s="26">
        <f t="shared" ref="W4:W28" si="2">B4+C4+E4+F4+G4*2+H4*3+I4*3+J4+K4*6+L4*5+M4+N4*5+O4*5+P4+Q4</f>
        <v>1333</v>
      </c>
      <c r="X4" s="27">
        <f t="shared" ref="X4:X30" si="3">C4*$C$3+D4*$D$3+E4*$E$3+F4*$F$3+G4*$G$3+H4*$H$3+I4*$I$3+J4*$J$3+K4*$K$3+L4*$L$3+M4*$M$3+N4*$N$3+O4*$O$3+P4*$P$3</f>
        <v>102210</v>
      </c>
      <c r="Y4" s="27">
        <f t="shared" ref="Y4:Y31" si="4">B4*99+C4*$C$3+D4*$D$3+E4*$E$3+F4*$F$3+G4*$G$3+H4*$H$3+I4*$I$3+J4*$J$3+K4*$K$3+L4*$L$3+M4*$M$3+N4*$N$3+O4*$O$3+P4*$P$3</f>
        <v>108546</v>
      </c>
    </row>
    <row r="5" s="30" customFormat="1" ht="21" customHeight="1" spans="1:25">
      <c r="A5" s="13" t="s">
        <v>28</v>
      </c>
      <c r="B5" s="11">
        <v>188</v>
      </c>
      <c r="C5" s="11">
        <v>14</v>
      </c>
      <c r="D5" s="11">
        <v>557</v>
      </c>
      <c r="E5" s="11">
        <v>445</v>
      </c>
      <c r="F5" s="11">
        <v>2</v>
      </c>
      <c r="G5" s="11">
        <v>97</v>
      </c>
      <c r="H5" s="11"/>
      <c r="I5" s="11"/>
      <c r="J5" s="11">
        <v>11</v>
      </c>
      <c r="K5" s="11"/>
      <c r="L5" s="11">
        <v>3</v>
      </c>
      <c r="M5" s="11"/>
      <c r="N5" s="11"/>
      <c r="O5" s="11"/>
      <c r="P5" s="11"/>
      <c r="Q5" s="40"/>
      <c r="R5" s="11"/>
      <c r="S5" s="40"/>
      <c r="T5" s="40"/>
      <c r="U5" s="25">
        <f t="shared" si="0"/>
        <v>572</v>
      </c>
      <c r="V5" s="25">
        <f t="shared" si="1"/>
        <v>760</v>
      </c>
      <c r="W5" s="26">
        <f t="shared" si="2"/>
        <v>869</v>
      </c>
      <c r="X5" s="27">
        <f t="shared" si="3"/>
        <v>75388.5</v>
      </c>
      <c r="Y5" s="27">
        <f t="shared" si="4"/>
        <v>94000.5</v>
      </c>
    </row>
    <row r="6" s="30" customFormat="1" ht="21" customHeight="1" spans="1:25">
      <c r="A6" s="13" t="s">
        <v>29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40"/>
      <c r="R6" s="11"/>
      <c r="S6" s="40"/>
      <c r="T6" s="40"/>
      <c r="U6" s="25">
        <f t="shared" si="0"/>
        <v>0</v>
      </c>
      <c r="V6" s="25">
        <f t="shared" si="1"/>
        <v>0</v>
      </c>
      <c r="W6" s="26">
        <f t="shared" si="2"/>
        <v>0</v>
      </c>
      <c r="X6" s="27">
        <f t="shared" si="3"/>
        <v>0</v>
      </c>
      <c r="Y6" s="27">
        <f t="shared" si="4"/>
        <v>0</v>
      </c>
    </row>
    <row r="7" s="30" customFormat="1" ht="21" customHeight="1" spans="1:25">
      <c r="A7" s="13" t="s">
        <v>30</v>
      </c>
      <c r="B7" s="11">
        <v>496</v>
      </c>
      <c r="C7" s="11">
        <v>87</v>
      </c>
      <c r="D7" s="11">
        <v>671</v>
      </c>
      <c r="E7" s="11">
        <v>437</v>
      </c>
      <c r="F7" s="11">
        <v>6</v>
      </c>
      <c r="G7" s="11">
        <v>147</v>
      </c>
      <c r="H7" s="11"/>
      <c r="I7" s="11"/>
      <c r="J7" s="11"/>
      <c r="K7" s="11"/>
      <c r="L7" s="11"/>
      <c r="M7" s="11"/>
      <c r="N7" s="11"/>
      <c r="O7" s="11"/>
      <c r="P7" s="11"/>
      <c r="Q7" s="40"/>
      <c r="R7" s="11"/>
      <c r="S7" s="40"/>
      <c r="T7" s="40"/>
      <c r="U7" s="25">
        <f t="shared" si="0"/>
        <v>677</v>
      </c>
      <c r="V7" s="25">
        <f t="shared" si="1"/>
        <v>1173</v>
      </c>
      <c r="W7" s="26">
        <f t="shared" si="2"/>
        <v>1320</v>
      </c>
      <c r="X7" s="27">
        <f t="shared" si="3"/>
        <v>97575.5</v>
      </c>
      <c r="Y7" s="27">
        <f t="shared" si="4"/>
        <v>146679.5</v>
      </c>
    </row>
    <row r="8" s="30" customFormat="1" ht="21" customHeight="1" spans="1:25">
      <c r="A8" s="13" t="s">
        <v>31</v>
      </c>
      <c r="B8" s="11">
        <v>102</v>
      </c>
      <c r="C8" s="11">
        <v>99</v>
      </c>
      <c r="D8" s="11">
        <v>822</v>
      </c>
      <c r="E8" s="11">
        <v>516</v>
      </c>
      <c r="F8" s="11"/>
      <c r="G8" s="11">
        <v>214</v>
      </c>
      <c r="H8" s="11"/>
      <c r="I8" s="11"/>
      <c r="J8" s="11">
        <v>2</v>
      </c>
      <c r="K8" s="11"/>
      <c r="L8" s="11"/>
      <c r="M8" s="11"/>
      <c r="N8" s="11"/>
      <c r="O8" s="11"/>
      <c r="P8" s="11"/>
      <c r="Q8" s="40"/>
      <c r="R8" s="11"/>
      <c r="S8" s="40"/>
      <c r="T8" s="40"/>
      <c r="U8" s="25">
        <f t="shared" si="0"/>
        <v>831</v>
      </c>
      <c r="V8" s="25">
        <f t="shared" si="1"/>
        <v>933</v>
      </c>
      <c r="W8" s="26">
        <f t="shared" si="2"/>
        <v>1147</v>
      </c>
      <c r="X8" s="27">
        <f t="shared" si="3"/>
        <v>125279</v>
      </c>
      <c r="Y8" s="27">
        <f t="shared" si="4"/>
        <v>135377</v>
      </c>
    </row>
    <row r="9" s="30" customFormat="1" ht="21" customHeight="1" spans="1:25">
      <c r="A9" s="13" t="s">
        <v>32</v>
      </c>
      <c r="B9" s="11">
        <v>77</v>
      </c>
      <c r="C9" s="11">
        <v>1</v>
      </c>
      <c r="D9" s="11">
        <v>450</v>
      </c>
      <c r="E9" s="11">
        <v>378</v>
      </c>
      <c r="F9" s="11"/>
      <c r="G9" s="11">
        <v>71</v>
      </c>
      <c r="H9" s="11"/>
      <c r="I9" s="11"/>
      <c r="J9" s="11">
        <v>12</v>
      </c>
      <c r="K9" s="11"/>
      <c r="L9" s="11"/>
      <c r="M9" s="11"/>
      <c r="N9" s="11"/>
      <c r="O9" s="11"/>
      <c r="P9" s="11"/>
      <c r="Q9" s="40"/>
      <c r="R9" s="11"/>
      <c r="S9" s="40"/>
      <c r="T9" s="40"/>
      <c r="U9" s="25">
        <f t="shared" si="0"/>
        <v>462</v>
      </c>
      <c r="V9" s="25">
        <f t="shared" si="1"/>
        <v>539</v>
      </c>
      <c r="W9" s="26">
        <f t="shared" si="2"/>
        <v>610</v>
      </c>
      <c r="X9" s="27">
        <f t="shared" si="3"/>
        <v>59433</v>
      </c>
      <c r="Y9" s="27">
        <f t="shared" si="4"/>
        <v>67056</v>
      </c>
    </row>
    <row r="10" s="30" customFormat="1" ht="21" customHeight="1" spans="1:25">
      <c r="A10" s="13" t="s">
        <v>33</v>
      </c>
      <c r="B10" s="11">
        <v>191</v>
      </c>
      <c r="C10" s="11">
        <v>6</v>
      </c>
      <c r="D10" s="11">
        <v>516</v>
      </c>
      <c r="E10" s="11">
        <v>483</v>
      </c>
      <c r="F10" s="11"/>
      <c r="G10" s="11">
        <v>31</v>
      </c>
      <c r="H10" s="11"/>
      <c r="I10" s="11"/>
      <c r="J10" s="11">
        <v>15</v>
      </c>
      <c r="K10" s="11"/>
      <c r="L10" s="11">
        <v>34</v>
      </c>
      <c r="M10" s="11"/>
      <c r="N10" s="11"/>
      <c r="O10" s="11"/>
      <c r="P10" s="11"/>
      <c r="Q10" s="40"/>
      <c r="R10" s="11"/>
      <c r="S10" s="40">
        <v>3</v>
      </c>
      <c r="T10" s="40"/>
      <c r="U10" s="25">
        <f t="shared" si="0"/>
        <v>569</v>
      </c>
      <c r="V10" s="25">
        <f t="shared" si="1"/>
        <v>760</v>
      </c>
      <c r="W10" s="26">
        <f t="shared" si="2"/>
        <v>927</v>
      </c>
      <c r="X10" s="27">
        <f t="shared" si="3"/>
        <v>61578</v>
      </c>
      <c r="Y10" s="27">
        <f t="shared" si="4"/>
        <v>80487</v>
      </c>
    </row>
    <row r="11" s="30" customFormat="1" ht="21" customHeight="1" spans="1:25">
      <c r="A11" s="13" t="s">
        <v>34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40"/>
      <c r="R11" s="11"/>
      <c r="S11" s="40"/>
      <c r="T11" s="40"/>
      <c r="U11" s="25">
        <f t="shared" si="0"/>
        <v>0</v>
      </c>
      <c r="V11" s="25">
        <f t="shared" si="1"/>
        <v>0</v>
      </c>
      <c r="W11" s="26">
        <f t="shared" si="2"/>
        <v>0</v>
      </c>
      <c r="X11" s="27">
        <f t="shared" si="3"/>
        <v>0</v>
      </c>
      <c r="Y11" s="27">
        <f t="shared" si="4"/>
        <v>0</v>
      </c>
    </row>
    <row r="12" s="30" customFormat="1" ht="21" customHeight="1" spans="1:25">
      <c r="A12" s="13" t="s">
        <v>35</v>
      </c>
      <c r="B12" s="11">
        <v>148</v>
      </c>
      <c r="C12" s="11">
        <v>27</v>
      </c>
      <c r="D12" s="11">
        <v>256</v>
      </c>
      <c r="E12" s="11">
        <v>179</v>
      </c>
      <c r="F12" s="11"/>
      <c r="G12" s="11">
        <v>51</v>
      </c>
      <c r="H12" s="11">
        <v>2</v>
      </c>
      <c r="I12" s="11">
        <v>10</v>
      </c>
      <c r="J12" s="11"/>
      <c r="K12" s="11"/>
      <c r="L12" s="11">
        <v>14</v>
      </c>
      <c r="M12" s="11"/>
      <c r="N12" s="11"/>
      <c r="O12" s="11"/>
      <c r="P12" s="11"/>
      <c r="Q12" s="40"/>
      <c r="R12" s="11">
        <v>6</v>
      </c>
      <c r="S12" s="40">
        <v>2</v>
      </c>
      <c r="T12" s="40"/>
      <c r="U12" s="25">
        <f t="shared" si="0"/>
        <v>283</v>
      </c>
      <c r="V12" s="25">
        <f t="shared" si="1"/>
        <v>431</v>
      </c>
      <c r="W12" s="26">
        <f t="shared" si="2"/>
        <v>562</v>
      </c>
      <c r="X12" s="27">
        <f t="shared" si="3"/>
        <v>40099</v>
      </c>
      <c r="Y12" s="27">
        <f t="shared" si="4"/>
        <v>54751</v>
      </c>
    </row>
    <row r="13" s="30" customFormat="1" ht="21" customHeight="1" spans="1:25">
      <c r="A13" s="13" t="s">
        <v>36</v>
      </c>
      <c r="B13" s="11">
        <v>77</v>
      </c>
      <c r="C13" s="11">
        <v>78</v>
      </c>
      <c r="D13" s="11">
        <v>685</v>
      </c>
      <c r="E13" s="11">
        <v>376</v>
      </c>
      <c r="F13" s="11">
        <v>1</v>
      </c>
      <c r="G13" s="11">
        <v>198</v>
      </c>
      <c r="H13" s="11">
        <v>14</v>
      </c>
      <c r="I13" s="11">
        <v>9</v>
      </c>
      <c r="J13" s="11">
        <v>4</v>
      </c>
      <c r="K13" s="11"/>
      <c r="L13" s="11">
        <v>1</v>
      </c>
      <c r="M13" s="11"/>
      <c r="N13" s="11">
        <v>1</v>
      </c>
      <c r="O13" s="11"/>
      <c r="P13" s="11"/>
      <c r="Q13" s="40"/>
      <c r="R13" s="11">
        <v>12</v>
      </c>
      <c r="S13" s="40">
        <v>1</v>
      </c>
      <c r="T13" s="40"/>
      <c r="U13" s="25">
        <f t="shared" si="0"/>
        <v>682</v>
      </c>
      <c r="V13" s="25">
        <f t="shared" si="1"/>
        <v>759</v>
      </c>
      <c r="W13" s="26">
        <f t="shared" si="2"/>
        <v>1011</v>
      </c>
      <c r="X13" s="27">
        <f t="shared" si="3"/>
        <v>110924.5</v>
      </c>
      <c r="Y13" s="27">
        <f t="shared" si="4"/>
        <v>118547.5</v>
      </c>
    </row>
    <row r="14" s="30" customFormat="1" ht="21" customHeight="1" spans="1:25">
      <c r="A14" s="13" t="s">
        <v>37</v>
      </c>
      <c r="B14" s="11">
        <v>166</v>
      </c>
      <c r="C14" s="11">
        <v>1</v>
      </c>
      <c r="D14" s="11">
        <v>58</v>
      </c>
      <c r="E14" s="11">
        <v>52</v>
      </c>
      <c r="F14" s="11"/>
      <c r="G14" s="11">
        <v>7</v>
      </c>
      <c r="H14" s="11"/>
      <c r="I14" s="11"/>
      <c r="J14" s="11"/>
      <c r="K14" s="11"/>
      <c r="L14" s="11">
        <v>8</v>
      </c>
      <c r="M14" s="11"/>
      <c r="N14" s="11"/>
      <c r="O14" s="11">
        <v>1</v>
      </c>
      <c r="P14" s="11"/>
      <c r="Q14" s="40">
        <v>135</v>
      </c>
      <c r="R14" s="11">
        <v>40</v>
      </c>
      <c r="S14" s="40">
        <v>1</v>
      </c>
      <c r="T14" s="40"/>
      <c r="U14" s="25">
        <f t="shared" si="0"/>
        <v>69</v>
      </c>
      <c r="V14" s="25">
        <f t="shared" si="1"/>
        <v>235</v>
      </c>
      <c r="W14" s="26">
        <f t="shared" si="2"/>
        <v>413</v>
      </c>
      <c r="X14" s="27">
        <f t="shared" si="3"/>
        <v>7854</v>
      </c>
      <c r="Y14" s="27">
        <f t="shared" si="4"/>
        <v>24288</v>
      </c>
    </row>
    <row r="15" s="30" customFormat="1" ht="21" customHeight="1" spans="1:25">
      <c r="A15" s="13" t="s">
        <v>38</v>
      </c>
      <c r="B15" s="11">
        <v>15</v>
      </c>
      <c r="C15" s="11">
        <v>12</v>
      </c>
      <c r="D15" s="11">
        <v>383</v>
      </c>
      <c r="E15" s="11">
        <v>335</v>
      </c>
      <c r="F15" s="11">
        <v>1</v>
      </c>
      <c r="G15" s="11">
        <v>51</v>
      </c>
      <c r="H15" s="11"/>
      <c r="I15" s="11"/>
      <c r="J15" s="11">
        <v>5</v>
      </c>
      <c r="K15" s="11"/>
      <c r="L15" s="11"/>
      <c r="M15" s="11"/>
      <c r="N15" s="11"/>
      <c r="O15" s="11">
        <v>1</v>
      </c>
      <c r="P15" s="11"/>
      <c r="Q15" s="40">
        <v>135</v>
      </c>
      <c r="R15" s="11">
        <v>40</v>
      </c>
      <c r="S15" s="40">
        <v>4</v>
      </c>
      <c r="T15" s="40"/>
      <c r="U15" s="25">
        <f t="shared" si="0"/>
        <v>405</v>
      </c>
      <c r="V15" s="25">
        <f t="shared" si="1"/>
        <v>420</v>
      </c>
      <c r="W15" s="26">
        <f t="shared" si="2"/>
        <v>610</v>
      </c>
      <c r="X15" s="27">
        <f t="shared" si="3"/>
        <v>50792.5</v>
      </c>
      <c r="Y15" s="27">
        <f t="shared" si="4"/>
        <v>52277.5</v>
      </c>
    </row>
    <row r="16" s="30" customFormat="1" ht="21" customHeight="1" spans="1:25">
      <c r="A16" s="13" t="s">
        <v>39</v>
      </c>
      <c r="B16" s="11">
        <v>254</v>
      </c>
      <c r="C16" s="11">
        <v>73</v>
      </c>
      <c r="D16" s="11">
        <v>562</v>
      </c>
      <c r="E16" s="11">
        <v>340</v>
      </c>
      <c r="F16" s="11">
        <v>2</v>
      </c>
      <c r="G16" s="11">
        <v>167</v>
      </c>
      <c r="H16" s="11">
        <v>4</v>
      </c>
      <c r="I16" s="11"/>
      <c r="J16" s="11">
        <v>5</v>
      </c>
      <c r="K16" s="11"/>
      <c r="L16" s="11">
        <v>12</v>
      </c>
      <c r="M16" s="11"/>
      <c r="N16" s="11"/>
      <c r="O16" s="11"/>
      <c r="P16" s="11"/>
      <c r="Q16" s="40"/>
      <c r="R16" s="11">
        <v>2</v>
      </c>
      <c r="S16" s="40">
        <v>3</v>
      </c>
      <c r="T16" s="40"/>
      <c r="U16" s="25">
        <f t="shared" si="0"/>
        <v>603</v>
      </c>
      <c r="V16" s="25">
        <f t="shared" si="1"/>
        <v>857</v>
      </c>
      <c r="W16" s="26">
        <f t="shared" si="2"/>
        <v>1080</v>
      </c>
      <c r="X16" s="27">
        <f t="shared" si="3"/>
        <v>92496</v>
      </c>
      <c r="Y16" s="27">
        <f t="shared" si="4"/>
        <v>117642</v>
      </c>
    </row>
    <row r="17" s="30" customFormat="1" ht="21" customHeight="1" spans="1:25">
      <c r="A17" s="13" t="s">
        <v>40</v>
      </c>
      <c r="B17" s="11">
        <v>210</v>
      </c>
      <c r="C17" s="11">
        <v>23</v>
      </c>
      <c r="D17" s="11">
        <v>398</v>
      </c>
      <c r="E17" s="11">
        <v>333</v>
      </c>
      <c r="F17" s="11"/>
      <c r="G17" s="11">
        <v>45</v>
      </c>
      <c r="H17" s="11"/>
      <c r="I17" s="40"/>
      <c r="J17" s="11">
        <v>7</v>
      </c>
      <c r="K17" s="11"/>
      <c r="L17" s="11">
        <v>6</v>
      </c>
      <c r="M17" s="11"/>
      <c r="N17" s="11"/>
      <c r="O17" s="11"/>
      <c r="P17" s="11"/>
      <c r="Q17" s="40"/>
      <c r="R17" s="11"/>
      <c r="S17" s="40">
        <v>3</v>
      </c>
      <c r="T17" s="40"/>
      <c r="U17" s="25">
        <f t="shared" si="0"/>
        <v>414</v>
      </c>
      <c r="V17" s="25">
        <f t="shared" si="1"/>
        <v>624</v>
      </c>
      <c r="W17" s="26">
        <f t="shared" si="2"/>
        <v>693</v>
      </c>
      <c r="X17" s="27">
        <f t="shared" si="3"/>
        <v>50655</v>
      </c>
      <c r="Y17" s="27">
        <f t="shared" si="4"/>
        <v>71445</v>
      </c>
    </row>
    <row r="18" s="30" customFormat="1" ht="21" customHeight="1" spans="1:25">
      <c r="A18" s="13" t="s">
        <v>41</v>
      </c>
      <c r="B18" s="11">
        <v>111</v>
      </c>
      <c r="C18" s="11">
        <v>34</v>
      </c>
      <c r="D18" s="11">
        <v>401</v>
      </c>
      <c r="E18" s="11">
        <v>282</v>
      </c>
      <c r="F18" s="11">
        <v>3</v>
      </c>
      <c r="G18" s="11">
        <v>62</v>
      </c>
      <c r="H18" s="11"/>
      <c r="I18" s="40"/>
      <c r="J18" s="11">
        <v>1</v>
      </c>
      <c r="K18" s="11"/>
      <c r="L18" s="11">
        <v>27</v>
      </c>
      <c r="M18" s="11"/>
      <c r="N18" s="11"/>
      <c r="O18" s="11"/>
      <c r="P18" s="11"/>
      <c r="Q18" s="40"/>
      <c r="R18" s="11"/>
      <c r="S18" s="40">
        <v>4</v>
      </c>
      <c r="T18" s="40"/>
      <c r="U18" s="25">
        <f t="shared" si="0"/>
        <v>409</v>
      </c>
      <c r="V18" s="25">
        <f t="shared" si="1"/>
        <v>520</v>
      </c>
      <c r="W18" s="26">
        <f t="shared" si="2"/>
        <v>690</v>
      </c>
      <c r="X18" s="27">
        <f t="shared" si="3"/>
        <v>52090.5</v>
      </c>
      <c r="Y18" s="27">
        <f t="shared" si="4"/>
        <v>63079.5</v>
      </c>
    </row>
    <row r="19" s="30" customFormat="1" ht="21" customHeight="1" spans="1:25">
      <c r="A19" s="13" t="s">
        <v>42</v>
      </c>
      <c r="B19" s="11">
        <v>120</v>
      </c>
      <c r="C19" s="11">
        <v>3</v>
      </c>
      <c r="D19" s="11">
        <v>120</v>
      </c>
      <c r="E19" s="11">
        <v>103</v>
      </c>
      <c r="F19" s="11">
        <v>3</v>
      </c>
      <c r="G19" s="11">
        <v>19</v>
      </c>
      <c r="H19" s="11"/>
      <c r="I19" s="40"/>
      <c r="J19" s="11">
        <v>1</v>
      </c>
      <c r="K19" s="11"/>
      <c r="L19" s="11">
        <v>7</v>
      </c>
      <c r="M19" s="11"/>
      <c r="N19" s="11"/>
      <c r="O19" s="11"/>
      <c r="P19" s="11"/>
      <c r="Q19" s="40"/>
      <c r="R19" s="11"/>
      <c r="S19" s="40">
        <v>1</v>
      </c>
      <c r="T19" s="40"/>
      <c r="U19" s="25">
        <f t="shared" si="0"/>
        <v>136</v>
      </c>
      <c r="V19" s="25">
        <f t="shared" si="1"/>
        <v>256</v>
      </c>
      <c r="W19" s="26">
        <f t="shared" si="2"/>
        <v>303</v>
      </c>
      <c r="X19" s="27">
        <f t="shared" si="3"/>
        <v>16720</v>
      </c>
      <c r="Y19" s="27">
        <f t="shared" si="4"/>
        <v>28600</v>
      </c>
    </row>
    <row r="20" s="30" customFormat="1" ht="21" customHeight="1" spans="1:25">
      <c r="A20" s="13" t="s">
        <v>43</v>
      </c>
      <c r="B20" s="11">
        <v>3</v>
      </c>
      <c r="C20" s="11">
        <v>3</v>
      </c>
      <c r="D20" s="11">
        <v>201</v>
      </c>
      <c r="E20" s="11">
        <v>183</v>
      </c>
      <c r="F20" s="11">
        <v>1</v>
      </c>
      <c r="G20" s="11">
        <v>14</v>
      </c>
      <c r="H20" s="11"/>
      <c r="I20" s="40"/>
      <c r="J20" s="11">
        <v>1</v>
      </c>
      <c r="K20" s="11"/>
      <c r="L20" s="11">
        <v>22</v>
      </c>
      <c r="M20" s="11"/>
      <c r="N20" s="11"/>
      <c r="O20" s="11"/>
      <c r="P20" s="11"/>
      <c r="Q20" s="40"/>
      <c r="R20" s="11"/>
      <c r="S20" s="40">
        <v>1</v>
      </c>
      <c r="T20" s="40"/>
      <c r="U20" s="25">
        <f t="shared" si="0"/>
        <v>224</v>
      </c>
      <c r="V20" s="25">
        <f t="shared" si="1"/>
        <v>227</v>
      </c>
      <c r="W20" s="26">
        <f t="shared" si="2"/>
        <v>329</v>
      </c>
      <c r="X20" s="27">
        <f t="shared" si="3"/>
        <v>24150.5</v>
      </c>
      <c r="Y20" s="27">
        <f t="shared" si="4"/>
        <v>24447.5</v>
      </c>
    </row>
    <row r="21" s="30" customFormat="1" ht="21" customHeight="1" spans="1:25">
      <c r="A21" s="13" t="s">
        <v>44</v>
      </c>
      <c r="B21" s="11">
        <v>174</v>
      </c>
      <c r="C21" s="11">
        <v>3</v>
      </c>
      <c r="D21" s="11">
        <v>142</v>
      </c>
      <c r="E21" s="11">
        <v>130</v>
      </c>
      <c r="F21" s="11"/>
      <c r="G21" s="11">
        <v>14</v>
      </c>
      <c r="H21" s="11"/>
      <c r="I21" s="40"/>
      <c r="J21" s="11">
        <v>4</v>
      </c>
      <c r="K21" s="11"/>
      <c r="L21" s="11">
        <v>8</v>
      </c>
      <c r="M21" s="11"/>
      <c r="N21" s="11"/>
      <c r="O21" s="11"/>
      <c r="P21" s="11"/>
      <c r="Q21" s="40"/>
      <c r="R21" s="11"/>
      <c r="S21" s="40">
        <v>1</v>
      </c>
      <c r="T21" s="40"/>
      <c r="U21" s="25">
        <f t="shared" si="0"/>
        <v>159</v>
      </c>
      <c r="V21" s="25">
        <f t="shared" si="1"/>
        <v>333</v>
      </c>
      <c r="W21" s="26">
        <f t="shared" si="2"/>
        <v>379</v>
      </c>
      <c r="X21" s="27">
        <f t="shared" si="3"/>
        <v>18227</v>
      </c>
      <c r="Y21" s="27">
        <f t="shared" si="4"/>
        <v>35453</v>
      </c>
    </row>
    <row r="22" s="30" customFormat="1" ht="21" customHeight="1" spans="1:25">
      <c r="A22" s="13" t="s">
        <v>45</v>
      </c>
      <c r="B22" s="11"/>
      <c r="C22" s="11"/>
      <c r="D22" s="11"/>
      <c r="E22" s="11"/>
      <c r="F22" s="11"/>
      <c r="G22" s="11"/>
      <c r="H22" s="11"/>
      <c r="I22" s="40"/>
      <c r="J22" s="11"/>
      <c r="K22" s="11"/>
      <c r="L22" s="11"/>
      <c r="M22" s="11"/>
      <c r="N22" s="11"/>
      <c r="O22" s="11"/>
      <c r="P22" s="11"/>
      <c r="Q22" s="40"/>
      <c r="R22" s="11"/>
      <c r="S22" s="40"/>
      <c r="T22" s="40"/>
      <c r="U22" s="25">
        <f t="shared" si="0"/>
        <v>0</v>
      </c>
      <c r="V22" s="25">
        <f t="shared" si="1"/>
        <v>0</v>
      </c>
      <c r="W22" s="26">
        <f t="shared" si="2"/>
        <v>0</v>
      </c>
      <c r="X22" s="27">
        <f t="shared" si="3"/>
        <v>0</v>
      </c>
      <c r="Y22" s="27">
        <f t="shared" si="4"/>
        <v>0</v>
      </c>
    </row>
    <row r="23" s="30" customFormat="1" ht="21" customHeight="1" spans="1:25">
      <c r="A23" s="13" t="s">
        <v>46</v>
      </c>
      <c r="B23" s="11"/>
      <c r="C23" s="11"/>
      <c r="D23" s="11">
        <v>161</v>
      </c>
      <c r="E23" s="11">
        <v>161</v>
      </c>
      <c r="F23" s="11"/>
      <c r="G23" s="11">
        <v>12</v>
      </c>
      <c r="H23" s="11"/>
      <c r="I23" s="40"/>
      <c r="J23" s="11">
        <v>0</v>
      </c>
      <c r="K23" s="11"/>
      <c r="L23" s="11">
        <v>22</v>
      </c>
      <c r="M23" s="11"/>
      <c r="N23" s="11"/>
      <c r="O23" s="11"/>
      <c r="P23" s="11"/>
      <c r="Q23" s="40"/>
      <c r="R23" s="11"/>
      <c r="S23" s="40"/>
      <c r="T23" s="40"/>
      <c r="U23" s="25">
        <f t="shared" si="0"/>
        <v>195</v>
      </c>
      <c r="V23" s="25">
        <f t="shared" si="1"/>
        <v>195</v>
      </c>
      <c r="W23" s="26">
        <f t="shared" si="2"/>
        <v>295</v>
      </c>
      <c r="X23" s="27">
        <f t="shared" si="3"/>
        <v>20718.5</v>
      </c>
      <c r="Y23" s="27">
        <f t="shared" si="4"/>
        <v>20718.5</v>
      </c>
    </row>
    <row r="24" s="30" customFormat="1" ht="21" customHeight="1" spans="1:25">
      <c r="A24" s="13" t="s">
        <v>47</v>
      </c>
      <c r="B24" s="11">
        <v>100</v>
      </c>
      <c r="C24" s="11">
        <v>5</v>
      </c>
      <c r="D24" s="11">
        <v>210</v>
      </c>
      <c r="E24" s="11">
        <v>198</v>
      </c>
      <c r="F24" s="11"/>
      <c r="G24" s="11">
        <v>19</v>
      </c>
      <c r="H24" s="11"/>
      <c r="I24" s="40"/>
      <c r="J24" s="11">
        <v>1</v>
      </c>
      <c r="K24" s="11"/>
      <c r="L24" s="11">
        <v>22</v>
      </c>
      <c r="M24" s="11"/>
      <c r="N24" s="11"/>
      <c r="O24" s="11"/>
      <c r="P24" s="11"/>
      <c r="Q24" s="40"/>
      <c r="R24" s="11"/>
      <c r="S24" s="40">
        <v>1</v>
      </c>
      <c r="T24" s="40"/>
      <c r="U24" s="25">
        <f t="shared" si="0"/>
        <v>245</v>
      </c>
      <c r="V24" s="25">
        <f t="shared" si="1"/>
        <v>345</v>
      </c>
      <c r="W24" s="26">
        <f t="shared" si="2"/>
        <v>452</v>
      </c>
      <c r="X24" s="27">
        <f t="shared" si="3"/>
        <v>27214</v>
      </c>
      <c r="Y24" s="27">
        <f t="shared" si="4"/>
        <v>37114</v>
      </c>
    </row>
    <row r="25" s="30" customFormat="1" ht="21" customHeight="1" spans="1:25">
      <c r="A25" s="13" t="s">
        <v>48</v>
      </c>
      <c r="B25" s="11">
        <v>274</v>
      </c>
      <c r="C25" s="11">
        <v>73</v>
      </c>
      <c r="D25" s="11">
        <v>580</v>
      </c>
      <c r="E25" s="11">
        <v>403</v>
      </c>
      <c r="F25" s="11">
        <v>3</v>
      </c>
      <c r="G25" s="11">
        <v>132</v>
      </c>
      <c r="H25" s="11"/>
      <c r="I25" s="40"/>
      <c r="J25" s="11">
        <v>3</v>
      </c>
      <c r="K25" s="11"/>
      <c r="L25" s="11">
        <v>41</v>
      </c>
      <c r="M25" s="11"/>
      <c r="N25" s="11"/>
      <c r="O25" s="11"/>
      <c r="P25" s="11"/>
      <c r="Q25" s="40"/>
      <c r="R25" s="40"/>
      <c r="S25" s="40">
        <v>4</v>
      </c>
      <c r="T25" s="40"/>
      <c r="U25" s="25">
        <f t="shared" si="0"/>
        <v>655</v>
      </c>
      <c r="V25" s="25">
        <f t="shared" si="1"/>
        <v>929</v>
      </c>
      <c r="W25" s="26">
        <f t="shared" si="2"/>
        <v>1225</v>
      </c>
      <c r="X25" s="27">
        <f t="shared" si="3"/>
        <v>89254</v>
      </c>
      <c r="Y25" s="27">
        <f t="shared" si="4"/>
        <v>116380</v>
      </c>
    </row>
    <row r="26" s="30" customFormat="1" ht="21" customHeight="1" spans="1:25">
      <c r="A26" s="13" t="s">
        <v>67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 t="s">
        <v>68</v>
      </c>
      <c r="B27" s="11"/>
      <c r="C27" s="11"/>
      <c r="D27" s="11"/>
      <c r="E27" s="11"/>
      <c r="F27" s="11"/>
      <c r="G27" s="11"/>
      <c r="H27" s="11"/>
      <c r="I27" s="35"/>
      <c r="J27" s="11"/>
      <c r="K27" s="11"/>
      <c r="L27" s="11"/>
      <c r="M27" s="11"/>
      <c r="N27" s="11"/>
      <c r="O27" s="11"/>
      <c r="P27" s="11"/>
      <c r="Q27" s="35"/>
      <c r="R27" s="35"/>
      <c r="S27" s="35"/>
      <c r="T27" s="35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69</v>
      </c>
      <c r="B28" s="11"/>
      <c r="C28" s="11"/>
      <c r="D28" s="11"/>
      <c r="E28" s="11"/>
      <c r="F28" s="11"/>
      <c r="G28" s="11"/>
      <c r="H28" s="11"/>
      <c r="I28" s="35"/>
      <c r="J28" s="11"/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>
        <v>61</v>
      </c>
      <c r="C29" s="11">
        <v>57</v>
      </c>
      <c r="D29" s="11">
        <v>451</v>
      </c>
      <c r="E29" s="11">
        <v>327</v>
      </c>
      <c r="F29" s="34">
        <v>2</v>
      </c>
      <c r="G29" s="11">
        <v>77</v>
      </c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463</v>
      </c>
      <c r="V29" s="25">
        <f t="shared" si="1"/>
        <v>524</v>
      </c>
      <c r="W29" s="26">
        <v>0</v>
      </c>
      <c r="X29" s="28">
        <f t="shared" si="3"/>
        <v>62815.5</v>
      </c>
      <c r="Y29" s="28">
        <f t="shared" si="4"/>
        <v>68854.5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2831</v>
      </c>
      <c r="C31" s="36">
        <f t="shared" si="5"/>
        <v>646</v>
      </c>
      <c r="D31" s="36">
        <f t="shared" si="5"/>
        <v>8172</v>
      </c>
      <c r="E31" s="36">
        <f t="shared" si="5"/>
        <v>6024</v>
      </c>
      <c r="F31" s="36">
        <f t="shared" si="5"/>
        <v>27</v>
      </c>
      <c r="G31" s="36">
        <f t="shared" si="5"/>
        <v>1619</v>
      </c>
      <c r="H31" s="36">
        <f t="shared" si="5"/>
        <v>30</v>
      </c>
      <c r="I31" s="36">
        <f t="shared" si="5"/>
        <v>21</v>
      </c>
      <c r="J31" s="36">
        <f t="shared" si="5"/>
        <v>75</v>
      </c>
      <c r="K31" s="36">
        <f t="shared" si="5"/>
        <v>0</v>
      </c>
      <c r="L31" s="36">
        <f t="shared" si="5"/>
        <v>246</v>
      </c>
      <c r="M31" s="36">
        <f t="shared" si="5"/>
        <v>0</v>
      </c>
      <c r="N31" s="36">
        <f t="shared" si="5"/>
        <v>1</v>
      </c>
      <c r="O31" s="36">
        <f t="shared" si="5"/>
        <v>16</v>
      </c>
      <c r="P31" s="36">
        <f t="shared" si="5"/>
        <v>0</v>
      </c>
      <c r="Q31" s="36">
        <f t="shared" si="5"/>
        <v>540</v>
      </c>
      <c r="R31" s="36">
        <f t="shared" si="5"/>
        <v>186</v>
      </c>
      <c r="S31" s="36">
        <f t="shared" si="5"/>
        <v>31</v>
      </c>
      <c r="T31" s="36">
        <f t="shared" si="5"/>
        <v>0</v>
      </c>
      <c r="U31" s="15">
        <f t="shared" si="5"/>
        <v>8705</v>
      </c>
      <c r="V31" s="25">
        <f t="shared" si="1"/>
        <v>11536</v>
      </c>
      <c r="W31" s="26">
        <f>SUM(W4:W30)</f>
        <v>14248</v>
      </c>
      <c r="X31" s="29">
        <f>SUM(X4:X30)</f>
        <v>1185475</v>
      </c>
      <c r="Y31" s="27">
        <f t="shared" si="4"/>
        <v>1465744</v>
      </c>
    </row>
    <row r="32" s="30" customFormat="1" ht="21" customHeight="1" spans="1:25">
      <c r="A32" s="14" t="s">
        <v>53</v>
      </c>
      <c r="B32" s="15">
        <f t="shared" ref="B32:P32" si="6">B31*B3</f>
        <v>280269</v>
      </c>
      <c r="C32" s="15">
        <f t="shared" si="6"/>
        <v>85272</v>
      </c>
      <c r="D32" s="15">
        <f t="shared" si="6"/>
        <v>44946</v>
      </c>
      <c r="E32" s="15">
        <f t="shared" si="6"/>
        <v>596376</v>
      </c>
      <c r="F32" s="15">
        <f t="shared" si="6"/>
        <v>1485</v>
      </c>
      <c r="G32" s="37">
        <f t="shared" si="6"/>
        <v>427416</v>
      </c>
      <c r="H32" s="15">
        <f t="shared" si="6"/>
        <v>9300</v>
      </c>
      <c r="I32" s="15">
        <f t="shared" si="6"/>
        <v>6006</v>
      </c>
      <c r="J32" s="15">
        <f t="shared" si="6"/>
        <v>4125</v>
      </c>
      <c r="K32" s="15">
        <f t="shared" si="6"/>
        <v>0</v>
      </c>
      <c r="L32" s="15">
        <f t="shared" si="6"/>
        <v>8118</v>
      </c>
      <c r="M32" s="15">
        <f t="shared" si="6"/>
        <v>0</v>
      </c>
      <c r="N32" s="15">
        <f t="shared" si="6"/>
        <v>143</v>
      </c>
      <c r="O32" s="15">
        <f t="shared" si="6"/>
        <v>2288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1185475</v>
      </c>
      <c r="Y32" s="29">
        <f>SUM(B32:P32)</f>
        <v>1465744</v>
      </c>
    </row>
    <row r="33" ht="21" customHeight="1"/>
  </sheetData>
  <protectedRanges>
    <protectedRange sqref="H16 H9:H11 H5:H7" name="区域1_3"/>
    <protectedRange sqref="R4:T4 Q5:T28 M16:M28 M5:M12" name="区域1_3_1_1_2_1"/>
    <protectedRange sqref="E29:G31" name="区域1_1_1_2"/>
    <protectedRange sqref="R4:T4 Q5:T28 M16:M28 M5:M12" name="区域1_3_1_1_1"/>
    <protectedRange sqref="P15 N16:P28 O13:P13 P4 N5:P12 P14" name="区域1_8_1"/>
    <protectedRange sqref="H16 H9:H11 H5:H7" name="区域1_3_1_2"/>
    <protectedRange sqref="H16 H9:H11 H5:H7" name="区域1_3_2_2"/>
    <protectedRange sqref="R4:T4 Q5:T28 M16:M28 M5:M12" name="区域1_3_1_1_3_1"/>
    <protectedRange sqref="H16 H9:H11 H5:H7" name="区域1_3_2_1_1"/>
    <protectedRange sqref="P15 N16:P28 O13:P13 P4 N5:P12 P14" name="区域1_8_2_1_1"/>
    <protectedRange sqref="E29:G31" name="区域1_1_1"/>
    <protectedRange sqref="B16:C16 B26:C28 B9:C11 B5:C7 B19:C20 B22:C22" name="区域1_4"/>
    <protectedRange sqref="P15 N16:P28 O13:P13 P4 N5:P12 P14" name="区域1_8"/>
    <protectedRange sqref="H16 H9:H11 H5:H7" name="区域1_3_2"/>
    <protectedRange sqref="H16 H9:H11 H5:H7" name="区域1_3_2_1"/>
    <protectedRange sqref="E29:G31" name="区域1_1"/>
    <protectedRange sqref="E29:G31" name="区域1_1_1_1"/>
    <protectedRange sqref="P15 N16:P28 O13:P13 P4 N5:P12 P14" name="区域1_8_1_2"/>
    <protectedRange sqref="L12:M12 M21 J16:M16 L17:M17 M25 J26:M28 K8:M8 J9:M11 J5:M7 M24 L18:M18 J19:M20 J22:M22 M23" name="区域1_6_1_1"/>
    <protectedRange sqref="B16:C16 B26:C28 B9:C11 B5:C7 B19:C20 B22:C22" name="区域1"/>
    <protectedRange sqref="I16 I9:I11 I5:I7" name="区域1_5_1"/>
    <protectedRange sqref="R4:T4 Q5:T28" name="区域1_3_1_1_1_2"/>
    <protectedRange sqref="P15 N16:P28 O13:P13 P4 N5:P12 P14" name="区域1_8_1_3"/>
    <protectedRange sqref="F16 F26:F28 F9:F11 F5:F7 F19:F20 F22" name="区域1_2"/>
    <protectedRange sqref="P4:P28" name="区域1_8_1_3_1"/>
    <protectedRange sqref="E30:G31 F29" name="区域1_1_1_3"/>
    <protectedRange sqref="R4:T4 Q5:T28" name="区域1_3_1_1_3_1_1"/>
    <protectedRange sqref="F16 F26:F28 F9:F11 F5:F7 F19:F20 F22" name="区域1_2_1_1"/>
    <protectedRange sqref="N29:P31" name="区域1_7_1"/>
    <protectedRange sqref="B16 B26:B28 B9:B11 B5:B7 B19:B20 B22" name="区域1_4_2"/>
    <protectedRange sqref="E16 E26:E28 E9:E11 E5:E7 E19:E20 E22" name="区域1_9"/>
    <protectedRange sqref="L12 J16:L16 L17 J26:L28 K8:L8 J9:L11 J5:L7 L18 J19:L20 J13:L13 J22:L22" name="区域1_12"/>
    <protectedRange sqref="D16 D26:D28 D9:D11 D5:D7 D19:D20 D22" name="区域1_13"/>
    <protectedRange sqref="J29" name="区域1_15"/>
    <protectedRange sqref="E29" name="区域1_17"/>
    <protectedRange sqref="H16 H9:H11 H5:H7" name="区域1_3_1"/>
    <protectedRange sqref="R4:T4 Q5:T28 M16:M28 M5:M12" name="区域1_3_1_1_2_1_1"/>
    <protectedRange sqref="E29:G31" name="区域1_1_1_2_1"/>
    <protectedRange sqref="R4:T4 Q5:T28 M16:M28 M5:M12" name="区域1_3_1_1_1_1"/>
    <protectedRange sqref="P15 N16:P28 O13:P13 P4 N5:P12 P14" name="区域1_8_1_1"/>
    <protectedRange sqref="H16 H9:H11 H5:H7" name="区域1_3_1_2_1"/>
    <protectedRange sqref="H16 H9:H11 H5:H7" name="区域1_3_2_2_1"/>
    <protectedRange sqref="R4:T4 Q5:T28 M16:M28 M5:M12" name="区域1_3_1_1_3_1_2"/>
    <protectedRange sqref="H16 H9:H11 H5:H7" name="区域1_3_2_1_1_1"/>
    <protectedRange sqref="P15 N16:P28 O13:P13 P4 N5:P12 P14" name="区域1_8_2_1_1_1"/>
    <protectedRange sqref="E29:G31" name="区域1_1_1_4"/>
    <protectedRange sqref="B16:C16 B26:C28 B9:C11 B5:C7 B19:C20 B22:C22" name="区域1_4_1"/>
    <protectedRange sqref="P15 N16:P28 O13:P13 P4 N5:P12 P14" name="区域1_8_2"/>
    <protectedRange sqref="H16 H9:H11 H5:H7" name="区域1_3_2_3"/>
    <protectedRange sqref="H16 H9:H11 H5:H7" name="区域1_3_2_1_2"/>
    <protectedRange sqref="E29:G31" name="区域1_1_2"/>
    <protectedRange sqref="E29:G31" name="区域1_1_1_1_1"/>
    <protectedRange sqref="P15 N16:P28 O13:P13 P4 N5:P12 P14" name="区域1_8_1_2_1"/>
    <protectedRange sqref="L12:M12 M21 J16:M16 L17:M17 M25 J26:M28 K8:M8 J9:M11 J5:M7 M24 L18:M18 J19:M20 J22:M22 M23" name="区域1_6_1_1_1"/>
    <protectedRange sqref="B16:C16 B26:C28 B9:C11 B5:C7 B19:C20 B22:C22" name="区域1_5"/>
    <protectedRange sqref="I16 I9:I11 I5:I7" name="区域1_5_1_1"/>
    <protectedRange sqref="R4:T4 Q5:T28" name="区域1_3_1_1_1_2_1"/>
    <protectedRange sqref="P15 N16:P28 O13:P13 P4 N5:P12 P14" name="区域1_8_1_3_2"/>
    <protectedRange sqref="F16 F26:F28 F9:F11 F5:F7 F19:F20 F22" name="区域1_2_1"/>
    <protectedRange sqref="P4:P28" name="区域1_8_1_3_1_1"/>
    <protectedRange sqref="E30:G31 F29" name="区域1_1_1_3_1"/>
    <protectedRange sqref="R4:T4 Q5:T28" name="区域1_3_1_1_3_1_1_1"/>
    <protectedRange sqref="F16 F26:F28 F9:F11 F5:F7 F19:F20 F22" name="区域1_2_1_1_1"/>
    <protectedRange sqref="N29:P31" name="区域1_7_1_1"/>
    <protectedRange sqref="B16 B26:B28 B9:B11 B5:B7 B19:B20 B22" name="区域1_4_2_1"/>
    <protectedRange sqref="E16 E26:E28 E9:E11 E5:E7 E19:E20 E22" name="区域1_9_1"/>
    <protectedRange sqref="L12 J16:L16 L17 J26:L28 K8:L8 J9:L11 J5:L7 L18 J19:L20 J13:L13 J22:L22" name="区域1_12_1"/>
    <protectedRange sqref="D16 D26:D28 D9:D11 D5:D7 D19:D20 D22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21:P28 N5:P12 O13:P13 P15 N16:P18 R20:R24 R5:R18 P14" name="区域1_8_1_1_1"/>
    <protectedRange sqref="B16:C16 B26:C26 B5:C7 B9:C9" name="区域1_4_1_1"/>
    <protectedRange sqref="R4:T4 M21:M28 M5:M12 M16:M18 Q20:Q24 S20:T24 Q25:T28 Q5:Q18 S5:T18" name="区域1_3_1_1"/>
    <protectedRange sqref="P4 P20 N21:P28 N5:P12 O13:P13 P15 N16:P18 R20:R24 R5:R18 P14" name="区域1_8_2_1"/>
    <protectedRange sqref="H16 H5:H7 H9" name="区域1_3_1_3"/>
    <protectedRange sqref="H16 H5:H7 H9" name="区域1_3_2_3_1"/>
    <protectedRange sqref="R4:T4 M21:M28 M5:M12 M16:M18 Q20:Q24 S20:T24 Q25:T28 Q5:Q18 S5:T18" name="区域1_3_1_1_3"/>
    <protectedRange sqref="H16 H5:H7 H9" name="区域1_3_2_1_2_1"/>
    <protectedRange sqref="P4 P20 N21:P28 N5:P12 O13:P13 P15 N16:P18 R20:R24 R5:R18 P14" name="区域1_8_2_1_2"/>
    <protectedRange sqref="E29:G31 E33:G33" name="区域1_1_3"/>
    <protectedRange sqref="K27:M28 M24 M21 L12:M12 L10:M10 M11 M18 J16:M16 L17:M17 M25 J26:M26 J5:M7 K8:M8 J9:M9 L22:M22 M23" name="区域1_6"/>
    <protectedRange sqref="E29:G31 E33:G33" name="区域1_1_1_1_1_1"/>
    <protectedRange sqref="R4:T4 M21:M28 M5:M12 M16:M18 Q20:Q24 S20:T24 Q25:T28 Q5:Q18 S5:T18" name="区域1_3_1_1_1_1_1"/>
    <protectedRange sqref="P4 P20 N21:P28 N5:P12 O13:P13 P15 N16:P18 R20:R24 R5:R18 P14" name="区域1_8_1_2_1_1"/>
    <protectedRange sqref="E29:G31 E33:G33" name="区域1_1_1_2_1_1"/>
    <protectedRange sqref="K27:M28 M24 M21 L12:M12 L10:M10 M11 M18 J16:M16 L17:M17 M25 J26:M26 J5:M7 K8:M8 J9:M9 L22:M22 M23" name="区域1_6_1"/>
    <protectedRange sqref="D16 D26 D5:D7 D9" name="区域1_4_1_1_1"/>
    <protectedRange sqref="B16:C16 B26:C26 B5:C7 B9:C9" name="区域1_5_2"/>
    <protectedRange sqref="E16:G16 E26:G26 E5:G7 E9:G9" name="区域1_2_1_2"/>
    <protectedRange sqref="I16 I5:I7 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21:P28 N5:P12 O13:P13 P15 N16:P18 R20:R24 R5:R18 P14" name="区域1_8_1_4"/>
    <protectedRange sqref="E30:G31 F29 E33:G33" name="区域1_1_1_1_1_1_1"/>
    <protectedRange sqref="F16 F26 F5:F7 F9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21:P28 N5:P12 O13:P13 P15 N16:P18 R20:R24 R5:R18 P14" name="区域1_8_2_2"/>
    <protectedRange sqref="R4:T4 Q20:Q24 S20:T24 Q25:T28 Q5:Q18 S5:T18" name="区域1_3_1_1_3_1_2_1"/>
    <protectedRange sqref="E30:G31 F29 E33:G33" name="区域1_1_1_2_1_1_1"/>
    <protectedRange sqref="F16 F26 F5:F7 F9" name="区域1_2_1_3_1"/>
    <protectedRange sqref="I16 I5:I7 I9" name="区域1_5_2_1"/>
    <protectedRange sqref="N29:P31" name="区域1_7_1_1_1"/>
    <protectedRange sqref="P4:P18 P20:P28 R5:R18 R20:R24" name="区域1_8_2_1_1_1_1"/>
    <protectedRange sqref="B16 B26 B5:B7 B9" name="区域1_4_2_1_1"/>
    <protectedRange sqref="C16 C26 C5:C7 C9" name="区域1_3_3"/>
    <protectedRange sqref="E16 E26 E5:E7 E9" name="区域1_9_1_1"/>
    <protectedRange sqref="G16 G26 G5:G7 G9" name="区域1_10"/>
    <protectedRange sqref="H16 H26 H5:H7 H9" name="区域1_3_3_1"/>
    <protectedRange sqref="K27:L28 L12 L10 J16:L16 L17 J26:L26 J5:L7 K8:L8 J9:L9 L22" name="区域1_12_1_1"/>
    <protectedRange sqref="M21:O28 M5:O12 O13 M16:O18" name="区域1_6_2"/>
    <protectedRange sqref="D16 D26 D5:D7 D9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1_2"/>
    <protectedRange sqref="E19:G19" name="区域1_1_1_2_2"/>
    <protectedRange sqref="E19:G19" name="区域1_1_4"/>
    <protectedRange sqref="E19:G19" name="区域1_1_1_1_3"/>
    <protectedRange sqref="E19:G19" name="区域1_1_1_4_1_1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1_1_5"/>
    <protectedRange sqref="E4:G4" name="区域1_1_1_2_5"/>
    <protectedRange sqref="E23:G23" name="区域1_1_1_1_6"/>
    <protectedRange sqref="E23:G23" name="区域1_1_1_2_6"/>
    <protectedRange sqref="E20:G20" name="区域1_1_8"/>
    <protectedRange sqref="E20:G20" name="区域1_1_1_1_7"/>
    <protectedRange sqref="E20:G20" name="区域1_1_1_8"/>
    <protectedRange sqref="E20:G20" name="区域1_1_1_2_7"/>
    <protectedRange sqref="N20:O20" name="区域1_7_4"/>
    <protectedRange sqref="E24:G24" name="区域1_1_1_1_8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1"/>
    <protectedRange sqref="E22:G22" name="区域1_1_1_1_10"/>
    <protectedRange sqref="E22:G22" name="区域1_1_1_11"/>
    <protectedRange sqref="E22:G22" name="区域1_1_1_2_10"/>
    <protectedRange sqref="E21:G21" name="区域1_1_1_1_11"/>
    <protectedRange sqref="E21:G21" name="区域1_1_1_2_11"/>
    <protectedRange sqref="E12:G12" name="区域1_1_1_1_12"/>
    <protectedRange sqref="E12:G12" name="区域1_1_1_2_12"/>
    <protectedRange sqref="E13:G13" name="区域1_1_1_1_13"/>
    <protectedRange sqref="E13:G13" name="区域1_1_1_2_13"/>
    <protectedRange sqref="E15:G15" name="区域1_1_1_1_14"/>
    <protectedRange sqref="E15:G15" name="区域1_1_1_2_14"/>
    <protectedRange sqref="E10:G10" name="区域1_1_16"/>
    <protectedRange sqref="E10:G10" name="区域1_1_1_1_15"/>
    <protectedRange sqref="E10:G10" name="区域1_1_1_16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_1_17"/>
    <protectedRange sqref="E18:G18" name="区域1_1_1_2_17"/>
    <protectedRange sqref="E17:G17" name="区域1_1_1_1_18"/>
    <protectedRange sqref="E17:G17" name="区域1_1_1_2_18"/>
    <protectedRange sqref="E12:G12" name="区域1_1_13"/>
    <protectedRange sqref="E12:G12" name="区域1_1_1_1_19"/>
    <protectedRange sqref="E12:G12" name="区域1_1_1_13"/>
    <protectedRange sqref="E12:G12" name="区域1_1_1_2_19"/>
    <protectedRange sqref="E15:G15" name="区域1_1_15"/>
    <protectedRange sqref="E15:G15" name="区域1_1_1_1_20"/>
    <protectedRange sqref="E15:G15" name="区域1_1_1_15"/>
    <protectedRange sqref="E15:G15" name="区域1_1_1_2_20"/>
    <protectedRange sqref="N15:O15" name="区域1_7_6"/>
    <protectedRange sqref="E13:G13" name="区域1_1_14"/>
    <protectedRange sqref="E13:G13" name="区域1_1_1_1_21"/>
    <protectedRange sqref="E13:G13" name="区域1_1_1_14"/>
    <protectedRange sqref="E13:G13" name="区域1_1_1_2_21"/>
    <protectedRange sqref="N13" name="区域1_7_5"/>
    <protectedRange sqref="E21:G21" name="区域1_1_12"/>
    <protectedRange sqref="E21:G21" name="区域1_1_1_1_22"/>
    <protectedRange sqref="E21:G21" name="区域1_1_1_12"/>
    <protectedRange sqref="E21:G21" name="区域1_1_1_2_22"/>
    <protectedRange sqref="E17:G17" name="区域1_1_19"/>
    <protectedRange sqref="E17:G17" name="区域1_1_1_1_23"/>
    <protectedRange sqref="E17:G17" name="区域1_1_1_19"/>
    <protectedRange sqref="E17:G17" name="区域1_1_1_2_23"/>
    <protectedRange sqref="E25:G25" name="区域1_1_20"/>
    <protectedRange sqref="E25:G25" name="区域1_1_1_1_24"/>
    <protectedRange sqref="E25:G25" name="区域1_1_1_20"/>
    <protectedRange sqref="E25:G25" name="区域1_1_1_2_24"/>
    <protectedRange sqref="E8:G8" name="区域1_1_21"/>
    <protectedRange sqref="E8:G8" name="区域1_1_1_1_25"/>
    <protectedRange sqref="E8:G8" name="区域1_1_1_21"/>
    <protectedRange sqref="E8:G8" name="区域1_1_1_2_25"/>
    <protectedRange sqref="E4:G4" name="区域1_1_6"/>
    <protectedRange sqref="E4:G4" name="区域1_1_1_1_26"/>
    <protectedRange sqref="E4:G4" name="区域1_1_1_6"/>
    <protectedRange sqref="E4:G4" name="区域1_1_1_2_26"/>
    <protectedRange sqref="N4:O4" name="区域1_7_3"/>
    <protectedRange sqref="E24:G24" name="区域1_1_9"/>
    <protectedRange sqref="E24:G24" name="区域1_1_1_1_27"/>
    <protectedRange sqref="E24:G24" name="区域1_1_1_9"/>
    <protectedRange sqref="E24:G24" name="区域1_1_1_2_27"/>
    <protectedRange sqref="E18:G18" name="区域1_1_18"/>
    <protectedRange sqref="E18:G18" name="区域1_1_1_1_28"/>
    <protectedRange sqref="E18:G18" name="区域1_1_1_18"/>
    <protectedRange sqref="E18:G18" name="区域1_1_1_2_28"/>
    <protectedRange sqref="E14:G14" name="区域1_1_22"/>
    <protectedRange sqref="E14:G14" name="区域1_1_1_1_29"/>
    <protectedRange sqref="E14:G14" name="区域1_1_1_22"/>
    <protectedRange sqref="E14:G14" name="区域1_1_1_2_29"/>
    <protectedRange sqref="N14:O14" name="区域1_7_7"/>
    <protectedRange sqref="E23:G23" name="区域1_1_7"/>
    <protectedRange sqref="E23:G23" name="区域1_1_1_1_30"/>
    <protectedRange sqref="E23:G23" name="区域1_1_1_7"/>
    <protectedRange sqref="E23:G23" name="区域1_1_1_2_30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abSelected="1" topLeftCell="A3" workbookViewId="0">
      <selection activeCell="B25" sqref="B25:L25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38" t="s">
        <v>65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/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1"/>
      <c r="R4" s="42"/>
      <c r="S4" s="42"/>
      <c r="T4" s="42"/>
      <c r="U4" s="25">
        <f t="shared" ref="U4:U29" si="0">SUM(C4:P4)-D4</f>
        <v>0</v>
      </c>
      <c r="V4" s="25">
        <f t="shared" ref="V4:V31" si="1">SUM(B4:P4)-D4</f>
        <v>0</v>
      </c>
      <c r="W4" s="26">
        <f t="shared" ref="W4:W28" si="2">B4+C4+E4+F4+G4*2+H4*3+I4*3+J4+K4*6+L4*5+M4+N4*5+O4*5+P4+Q4</f>
        <v>0</v>
      </c>
      <c r="X4" s="27">
        <f t="shared" ref="X4:X30" si="3">C4*$C$3+D4*$D$3+E4*$E$3+F4*$F$3+G4*$G$3+H4*$H$3+I4*$I$3+J4*$J$3+K4*$K$3+L4*$L$3+M4*$M$3+N4*$N$3+O4*$O$3+P4*$P$3</f>
        <v>0</v>
      </c>
      <c r="Y4" s="27">
        <f t="shared" ref="Y4:Y31" si="4">B4*99+C4*$C$3+D4*$D$3+E4*$E$3+F4*$F$3+G4*$G$3+H4*$H$3+I4*$I$3+J4*$J$3+K4*$K$3+L4*$L$3+M4*$M$3+N4*$N$3+O4*$O$3+P4*$P$3</f>
        <v>0</v>
      </c>
    </row>
    <row r="5" s="30" customFormat="1" ht="21" customHeight="1" spans="1:25">
      <c r="A5" s="13" t="s">
        <v>28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0"/>
      <c r="R5" s="11"/>
      <c r="S5" s="40"/>
      <c r="T5" s="40"/>
      <c r="U5" s="25">
        <f t="shared" si="0"/>
        <v>0</v>
      </c>
      <c r="V5" s="25">
        <f t="shared" si="1"/>
        <v>0</v>
      </c>
      <c r="W5" s="26">
        <f t="shared" si="2"/>
        <v>0</v>
      </c>
      <c r="X5" s="27">
        <f t="shared" si="3"/>
        <v>0</v>
      </c>
      <c r="Y5" s="27">
        <f t="shared" si="4"/>
        <v>0</v>
      </c>
    </row>
    <row r="6" s="30" customFormat="1" ht="21" customHeight="1" spans="1:25">
      <c r="A6" s="13" t="s">
        <v>29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40"/>
      <c r="R6" s="11"/>
      <c r="S6" s="40"/>
      <c r="T6" s="40"/>
      <c r="U6" s="25">
        <f t="shared" si="0"/>
        <v>0</v>
      </c>
      <c r="V6" s="25">
        <f t="shared" si="1"/>
        <v>0</v>
      </c>
      <c r="W6" s="26">
        <f t="shared" si="2"/>
        <v>0</v>
      </c>
      <c r="X6" s="27">
        <f t="shared" si="3"/>
        <v>0</v>
      </c>
      <c r="Y6" s="27">
        <f t="shared" si="4"/>
        <v>0</v>
      </c>
    </row>
    <row r="7" s="30" customFormat="1" ht="21" customHeight="1" spans="1:25">
      <c r="A7" s="13" t="s">
        <v>30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40"/>
      <c r="R7" s="11"/>
      <c r="S7" s="40"/>
      <c r="T7" s="40"/>
      <c r="U7" s="25">
        <f t="shared" si="0"/>
        <v>0</v>
      </c>
      <c r="V7" s="25">
        <f t="shared" si="1"/>
        <v>0</v>
      </c>
      <c r="W7" s="26">
        <f t="shared" si="2"/>
        <v>0</v>
      </c>
      <c r="X7" s="27">
        <f t="shared" si="3"/>
        <v>0</v>
      </c>
      <c r="Y7" s="27">
        <f t="shared" si="4"/>
        <v>0</v>
      </c>
    </row>
    <row r="8" s="30" customFormat="1" ht="21" customHeight="1" spans="1:25">
      <c r="A8" s="13" t="s">
        <v>31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40"/>
      <c r="R8" s="11"/>
      <c r="S8" s="40"/>
      <c r="T8" s="40"/>
      <c r="U8" s="25">
        <f t="shared" si="0"/>
        <v>0</v>
      </c>
      <c r="V8" s="25">
        <f t="shared" si="1"/>
        <v>0</v>
      </c>
      <c r="W8" s="26">
        <f t="shared" si="2"/>
        <v>0</v>
      </c>
      <c r="X8" s="27">
        <f t="shared" si="3"/>
        <v>0</v>
      </c>
      <c r="Y8" s="27">
        <f t="shared" si="4"/>
        <v>0</v>
      </c>
    </row>
    <row r="9" s="30" customFormat="1" ht="21" customHeight="1" spans="1:25">
      <c r="A9" s="13" t="s">
        <v>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40"/>
      <c r="R9" s="11"/>
      <c r="S9" s="40"/>
      <c r="T9" s="40"/>
      <c r="U9" s="25">
        <f t="shared" si="0"/>
        <v>0</v>
      </c>
      <c r="V9" s="25">
        <f t="shared" si="1"/>
        <v>0</v>
      </c>
      <c r="W9" s="26">
        <f t="shared" si="2"/>
        <v>0</v>
      </c>
      <c r="X9" s="27">
        <f t="shared" si="3"/>
        <v>0</v>
      </c>
      <c r="Y9" s="27">
        <f t="shared" si="4"/>
        <v>0</v>
      </c>
    </row>
    <row r="10" s="30" customFormat="1" ht="21" customHeight="1" spans="1:25">
      <c r="A10" s="13" t="s">
        <v>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40"/>
      <c r="R10" s="11"/>
      <c r="S10" s="40"/>
      <c r="T10" s="40"/>
      <c r="U10" s="25">
        <f t="shared" si="0"/>
        <v>0</v>
      </c>
      <c r="V10" s="25">
        <f t="shared" si="1"/>
        <v>0</v>
      </c>
      <c r="W10" s="26">
        <f t="shared" si="2"/>
        <v>0</v>
      </c>
      <c r="X10" s="27">
        <f t="shared" si="3"/>
        <v>0</v>
      </c>
      <c r="Y10" s="27">
        <f t="shared" si="4"/>
        <v>0</v>
      </c>
    </row>
    <row r="11" s="30" customFormat="1" ht="21" customHeight="1" spans="1:25">
      <c r="A11" s="13" t="s">
        <v>34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40"/>
      <c r="R11" s="11"/>
      <c r="S11" s="40"/>
      <c r="T11" s="40"/>
      <c r="U11" s="25">
        <f t="shared" si="0"/>
        <v>0</v>
      </c>
      <c r="V11" s="25">
        <f t="shared" si="1"/>
        <v>0</v>
      </c>
      <c r="W11" s="26">
        <f t="shared" si="2"/>
        <v>0</v>
      </c>
      <c r="X11" s="27">
        <f t="shared" si="3"/>
        <v>0</v>
      </c>
      <c r="Y11" s="27">
        <f t="shared" si="4"/>
        <v>0</v>
      </c>
    </row>
    <row r="12" s="30" customFormat="1" ht="21" customHeight="1" spans="1:25">
      <c r="A12" s="13" t="s">
        <v>35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40"/>
      <c r="R12" s="11"/>
      <c r="S12" s="40"/>
      <c r="T12" s="40"/>
      <c r="U12" s="25">
        <f t="shared" si="0"/>
        <v>0</v>
      </c>
      <c r="V12" s="25">
        <f t="shared" si="1"/>
        <v>0</v>
      </c>
      <c r="W12" s="26">
        <f t="shared" si="2"/>
        <v>0</v>
      </c>
      <c r="X12" s="27">
        <f t="shared" si="3"/>
        <v>0</v>
      </c>
      <c r="Y12" s="27">
        <f t="shared" si="4"/>
        <v>0</v>
      </c>
    </row>
    <row r="13" s="30" customFormat="1" ht="21" customHeight="1" spans="1:25">
      <c r="A13" s="13" t="s">
        <v>36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40"/>
      <c r="R13" s="11"/>
      <c r="S13" s="40"/>
      <c r="T13" s="40"/>
      <c r="U13" s="25">
        <f t="shared" si="0"/>
        <v>0</v>
      </c>
      <c r="V13" s="25">
        <f t="shared" si="1"/>
        <v>0</v>
      </c>
      <c r="W13" s="26">
        <f t="shared" si="2"/>
        <v>0</v>
      </c>
      <c r="X13" s="27">
        <f t="shared" si="3"/>
        <v>0</v>
      </c>
      <c r="Y13" s="27">
        <f t="shared" si="4"/>
        <v>0</v>
      </c>
    </row>
    <row r="14" s="30" customFormat="1" ht="21" customHeight="1" spans="1:25">
      <c r="A14" s="13" t="s">
        <v>37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40"/>
      <c r="R14" s="11"/>
      <c r="S14" s="40"/>
      <c r="T14" s="40"/>
      <c r="U14" s="25">
        <f t="shared" si="0"/>
        <v>0</v>
      </c>
      <c r="V14" s="25">
        <f t="shared" si="1"/>
        <v>0</v>
      </c>
      <c r="W14" s="26">
        <f t="shared" si="2"/>
        <v>0</v>
      </c>
      <c r="X14" s="27">
        <f t="shared" si="3"/>
        <v>0</v>
      </c>
      <c r="Y14" s="27">
        <f t="shared" si="4"/>
        <v>0</v>
      </c>
    </row>
    <row r="15" s="30" customFormat="1" ht="21" customHeight="1" spans="1:25">
      <c r="A15" s="13" t="s">
        <v>38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40"/>
      <c r="R15" s="11"/>
      <c r="S15" s="40"/>
      <c r="T15" s="40"/>
      <c r="U15" s="25">
        <f t="shared" si="0"/>
        <v>0</v>
      </c>
      <c r="V15" s="25">
        <f t="shared" si="1"/>
        <v>0</v>
      </c>
      <c r="W15" s="26">
        <f t="shared" si="2"/>
        <v>0</v>
      </c>
      <c r="X15" s="27">
        <f t="shared" si="3"/>
        <v>0</v>
      </c>
      <c r="Y15" s="27">
        <f t="shared" si="4"/>
        <v>0</v>
      </c>
    </row>
    <row r="16" s="30" customFormat="1" ht="21" customHeight="1" spans="1:25">
      <c r="A16" s="13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40"/>
      <c r="R16" s="11"/>
      <c r="S16" s="40"/>
      <c r="T16" s="40"/>
      <c r="U16" s="25">
        <f t="shared" si="0"/>
        <v>0</v>
      </c>
      <c r="V16" s="25">
        <f t="shared" si="1"/>
        <v>0</v>
      </c>
      <c r="W16" s="26">
        <f t="shared" si="2"/>
        <v>0</v>
      </c>
      <c r="X16" s="27">
        <f t="shared" si="3"/>
        <v>0</v>
      </c>
      <c r="Y16" s="27">
        <f t="shared" si="4"/>
        <v>0</v>
      </c>
    </row>
    <row r="17" s="30" customFormat="1" ht="21" customHeight="1" spans="1:25">
      <c r="A17" s="13" t="s">
        <v>40</v>
      </c>
      <c r="B17" s="11"/>
      <c r="C17" s="11"/>
      <c r="D17" s="11"/>
      <c r="E17" s="11"/>
      <c r="F17" s="11"/>
      <c r="G17" s="11"/>
      <c r="H17" s="11"/>
      <c r="I17" s="40"/>
      <c r="J17" s="11"/>
      <c r="K17" s="11"/>
      <c r="L17" s="11"/>
      <c r="M17" s="11"/>
      <c r="N17" s="11"/>
      <c r="O17" s="11"/>
      <c r="P17" s="11"/>
      <c r="Q17" s="40"/>
      <c r="R17" s="11"/>
      <c r="S17" s="40"/>
      <c r="T17" s="40"/>
      <c r="U17" s="25">
        <f t="shared" si="0"/>
        <v>0</v>
      </c>
      <c r="V17" s="25">
        <f t="shared" si="1"/>
        <v>0</v>
      </c>
      <c r="W17" s="26">
        <f t="shared" si="2"/>
        <v>0</v>
      </c>
      <c r="X17" s="27">
        <f t="shared" si="3"/>
        <v>0</v>
      </c>
      <c r="Y17" s="27">
        <f t="shared" si="4"/>
        <v>0</v>
      </c>
    </row>
    <row r="18" s="30" customFormat="1" ht="21" customHeight="1" spans="1:25">
      <c r="A18" s="13" t="s">
        <v>41</v>
      </c>
      <c r="B18" s="11"/>
      <c r="C18" s="11"/>
      <c r="D18" s="11"/>
      <c r="E18" s="11"/>
      <c r="F18" s="11"/>
      <c r="G18" s="11"/>
      <c r="H18" s="11"/>
      <c r="I18" s="40"/>
      <c r="J18" s="11"/>
      <c r="K18" s="11"/>
      <c r="L18" s="11"/>
      <c r="M18" s="11"/>
      <c r="N18" s="11"/>
      <c r="O18" s="11"/>
      <c r="P18" s="11"/>
      <c r="Q18" s="40"/>
      <c r="R18" s="11"/>
      <c r="S18" s="40"/>
      <c r="T18" s="40"/>
      <c r="U18" s="25">
        <f t="shared" si="0"/>
        <v>0</v>
      </c>
      <c r="V18" s="25">
        <f t="shared" si="1"/>
        <v>0</v>
      </c>
      <c r="W18" s="26">
        <f t="shared" si="2"/>
        <v>0</v>
      </c>
      <c r="X18" s="27">
        <f t="shared" si="3"/>
        <v>0</v>
      </c>
      <c r="Y18" s="27">
        <f t="shared" si="4"/>
        <v>0</v>
      </c>
    </row>
    <row r="19" s="30" customFormat="1" ht="21" customHeight="1" spans="1:25">
      <c r="A19" s="13" t="s">
        <v>42</v>
      </c>
      <c r="B19" s="11"/>
      <c r="C19" s="11"/>
      <c r="D19" s="11"/>
      <c r="E19" s="11"/>
      <c r="F19" s="11"/>
      <c r="G19" s="11"/>
      <c r="H19" s="11"/>
      <c r="I19" s="40"/>
      <c r="J19" s="11"/>
      <c r="K19" s="11"/>
      <c r="L19" s="11"/>
      <c r="M19" s="11"/>
      <c r="N19" s="11"/>
      <c r="O19" s="11"/>
      <c r="P19" s="11"/>
      <c r="Q19" s="40"/>
      <c r="R19" s="11"/>
      <c r="S19" s="40"/>
      <c r="T19" s="40"/>
      <c r="U19" s="25">
        <f t="shared" si="0"/>
        <v>0</v>
      </c>
      <c r="V19" s="25">
        <f t="shared" si="1"/>
        <v>0</v>
      </c>
      <c r="W19" s="26">
        <f t="shared" si="2"/>
        <v>0</v>
      </c>
      <c r="X19" s="27">
        <f t="shared" si="3"/>
        <v>0</v>
      </c>
      <c r="Y19" s="27">
        <f t="shared" si="4"/>
        <v>0</v>
      </c>
    </row>
    <row r="20" s="30" customFormat="1" ht="21" customHeight="1" spans="1:25">
      <c r="A20" s="13" t="s">
        <v>43</v>
      </c>
      <c r="B20" s="11"/>
      <c r="C20" s="11"/>
      <c r="D20" s="11"/>
      <c r="E20" s="11"/>
      <c r="F20" s="11"/>
      <c r="G20" s="11"/>
      <c r="H20" s="11"/>
      <c r="I20" s="40"/>
      <c r="J20" s="11"/>
      <c r="K20" s="11"/>
      <c r="L20" s="11"/>
      <c r="M20" s="11"/>
      <c r="N20" s="11"/>
      <c r="O20" s="11"/>
      <c r="P20" s="11"/>
      <c r="Q20" s="40"/>
      <c r="R20" s="11"/>
      <c r="S20" s="40"/>
      <c r="T20" s="40"/>
      <c r="U20" s="25">
        <f t="shared" si="0"/>
        <v>0</v>
      </c>
      <c r="V20" s="25">
        <f t="shared" si="1"/>
        <v>0</v>
      </c>
      <c r="W20" s="26">
        <f t="shared" si="2"/>
        <v>0</v>
      </c>
      <c r="X20" s="27">
        <f t="shared" si="3"/>
        <v>0</v>
      </c>
      <c r="Y20" s="27">
        <f t="shared" si="4"/>
        <v>0</v>
      </c>
    </row>
    <row r="21" s="30" customFormat="1" ht="21" customHeight="1" spans="1:25">
      <c r="A21" s="13" t="s">
        <v>44</v>
      </c>
      <c r="B21" s="11"/>
      <c r="C21" s="11"/>
      <c r="D21" s="11"/>
      <c r="E21" s="11"/>
      <c r="F21" s="11"/>
      <c r="G21" s="11"/>
      <c r="H21" s="11"/>
      <c r="I21" s="40"/>
      <c r="J21" s="11"/>
      <c r="K21" s="11"/>
      <c r="L21" s="11"/>
      <c r="M21" s="11"/>
      <c r="N21" s="11"/>
      <c r="O21" s="11"/>
      <c r="P21" s="11"/>
      <c r="Q21" s="40"/>
      <c r="R21" s="11"/>
      <c r="S21" s="40"/>
      <c r="T21" s="40"/>
      <c r="U21" s="25">
        <f t="shared" si="0"/>
        <v>0</v>
      </c>
      <c r="V21" s="25">
        <f t="shared" si="1"/>
        <v>0</v>
      </c>
      <c r="W21" s="26">
        <f t="shared" si="2"/>
        <v>0</v>
      </c>
      <c r="X21" s="27">
        <f t="shared" si="3"/>
        <v>0</v>
      </c>
      <c r="Y21" s="27">
        <f t="shared" si="4"/>
        <v>0</v>
      </c>
    </row>
    <row r="22" s="30" customFormat="1" ht="21" customHeight="1" spans="1:25">
      <c r="A22" s="13" t="s">
        <v>45</v>
      </c>
      <c r="B22" s="11"/>
      <c r="C22" s="11"/>
      <c r="D22" s="11"/>
      <c r="E22" s="11"/>
      <c r="F22" s="11"/>
      <c r="G22" s="11"/>
      <c r="H22" s="11"/>
      <c r="I22" s="40"/>
      <c r="J22" s="11"/>
      <c r="K22" s="11"/>
      <c r="L22" s="11"/>
      <c r="M22" s="11"/>
      <c r="N22" s="11"/>
      <c r="O22" s="11"/>
      <c r="P22" s="11"/>
      <c r="Q22" s="40"/>
      <c r="R22" s="11"/>
      <c r="S22" s="40"/>
      <c r="T22" s="40"/>
      <c r="U22" s="25">
        <f t="shared" si="0"/>
        <v>0</v>
      </c>
      <c r="V22" s="25">
        <f t="shared" si="1"/>
        <v>0</v>
      </c>
      <c r="W22" s="26">
        <f t="shared" si="2"/>
        <v>0</v>
      </c>
      <c r="X22" s="27">
        <f t="shared" si="3"/>
        <v>0</v>
      </c>
      <c r="Y22" s="27">
        <f t="shared" si="4"/>
        <v>0</v>
      </c>
    </row>
    <row r="23" s="30" customFormat="1" ht="21" customHeight="1" spans="1:25">
      <c r="A23" s="13" t="s">
        <v>46</v>
      </c>
      <c r="B23" s="11">
        <v>410</v>
      </c>
      <c r="C23" s="11">
        <v>3</v>
      </c>
      <c r="D23" s="11">
        <v>571</v>
      </c>
      <c r="E23" s="11">
        <v>515</v>
      </c>
      <c r="F23" s="11">
        <v>1</v>
      </c>
      <c r="G23" s="11">
        <v>67</v>
      </c>
      <c r="H23" s="11">
        <v>0</v>
      </c>
      <c r="I23" s="40">
        <v>0</v>
      </c>
      <c r="J23" s="11">
        <v>15</v>
      </c>
      <c r="K23" s="11">
        <v>0</v>
      </c>
      <c r="L23" s="11">
        <v>11</v>
      </c>
      <c r="M23" s="11"/>
      <c r="N23" s="11"/>
      <c r="O23" s="11"/>
      <c r="P23" s="11"/>
      <c r="Q23" s="40"/>
      <c r="R23" s="11"/>
      <c r="S23" s="40"/>
      <c r="T23" s="40"/>
      <c r="U23" s="25">
        <f t="shared" si="0"/>
        <v>612</v>
      </c>
      <c r="V23" s="25">
        <f t="shared" si="1"/>
        <v>1022</v>
      </c>
      <c r="W23" s="26">
        <f t="shared" si="2"/>
        <v>1133</v>
      </c>
      <c r="X23" s="27">
        <f t="shared" si="3"/>
        <v>73452.5</v>
      </c>
      <c r="Y23" s="27">
        <f t="shared" si="4"/>
        <v>114042.5</v>
      </c>
    </row>
    <row r="24" s="30" customFormat="1" ht="21" customHeight="1" spans="1:25">
      <c r="A24" s="13" t="s">
        <v>47</v>
      </c>
      <c r="B24" s="11"/>
      <c r="C24" s="11"/>
      <c r="D24" s="11"/>
      <c r="E24" s="11"/>
      <c r="F24" s="11"/>
      <c r="G24" s="11"/>
      <c r="H24" s="11"/>
      <c r="I24" s="40"/>
      <c r="J24" s="11"/>
      <c r="K24" s="11"/>
      <c r="L24" s="11"/>
      <c r="M24" s="11"/>
      <c r="N24" s="11"/>
      <c r="O24" s="11"/>
      <c r="P24" s="11"/>
      <c r="Q24" s="40"/>
      <c r="R24" s="11"/>
      <c r="S24" s="40"/>
      <c r="T24" s="40"/>
      <c r="U24" s="25">
        <f t="shared" si="0"/>
        <v>0</v>
      </c>
      <c r="V24" s="25">
        <f t="shared" si="1"/>
        <v>0</v>
      </c>
      <c r="W24" s="26">
        <f t="shared" si="2"/>
        <v>0</v>
      </c>
      <c r="X24" s="27">
        <f t="shared" si="3"/>
        <v>0</v>
      </c>
      <c r="Y24" s="27">
        <f t="shared" si="4"/>
        <v>0</v>
      </c>
    </row>
    <row r="25" s="30" customFormat="1" ht="21" customHeight="1" spans="1:25">
      <c r="A25" s="13" t="s">
        <v>48</v>
      </c>
      <c r="B25" s="11">
        <v>335</v>
      </c>
      <c r="C25" s="11">
        <v>66</v>
      </c>
      <c r="D25" s="11">
        <v>529</v>
      </c>
      <c r="E25" s="11">
        <v>357</v>
      </c>
      <c r="F25" s="11">
        <v>1</v>
      </c>
      <c r="G25" s="11">
        <v>126</v>
      </c>
      <c r="H25" s="11">
        <v>0</v>
      </c>
      <c r="I25" s="40">
        <v>0</v>
      </c>
      <c r="J25" s="11">
        <v>4</v>
      </c>
      <c r="K25" s="11">
        <v>0</v>
      </c>
      <c r="L25" s="11">
        <v>28</v>
      </c>
      <c r="M25" s="11"/>
      <c r="N25" s="11"/>
      <c r="O25" s="11"/>
      <c r="P25" s="11"/>
      <c r="Q25" s="40"/>
      <c r="R25" s="40"/>
      <c r="S25" s="40"/>
      <c r="T25" s="40"/>
      <c r="U25" s="25">
        <f t="shared" si="0"/>
        <v>582</v>
      </c>
      <c r="V25" s="25">
        <f t="shared" si="1"/>
        <v>917</v>
      </c>
      <c r="W25" s="26">
        <f t="shared" si="2"/>
        <v>1155</v>
      </c>
      <c r="X25" s="27">
        <f t="shared" si="3"/>
        <v>81427.5</v>
      </c>
      <c r="Y25" s="27">
        <f t="shared" si="4"/>
        <v>114592.5</v>
      </c>
    </row>
    <row r="26" s="30" customFormat="1" ht="21" customHeight="1" spans="1:25">
      <c r="A26" s="13" t="s">
        <v>49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/>
      <c r="B27" s="11"/>
      <c r="C27" s="11"/>
      <c r="D27" s="11"/>
      <c r="E27" s="11"/>
      <c r="F27" s="11"/>
      <c r="G27" s="11"/>
      <c r="H27" s="11"/>
      <c r="I27" s="35"/>
      <c r="J27" s="11"/>
      <c r="K27" s="11"/>
      <c r="L27" s="11"/>
      <c r="M27" s="11"/>
      <c r="N27" s="11"/>
      <c r="O27" s="11"/>
      <c r="P27" s="11"/>
      <c r="Q27" s="35"/>
      <c r="R27" s="35"/>
      <c r="S27" s="35"/>
      <c r="T27" s="35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61</v>
      </c>
      <c r="B28" s="11"/>
      <c r="C28" s="11"/>
      <c r="D28" s="11"/>
      <c r="E28" s="11"/>
      <c r="F28" s="11"/>
      <c r="G28" s="11"/>
      <c r="H28" s="11"/>
      <c r="I28" s="35"/>
      <c r="J28" s="11"/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/>
      <c r="C29" s="11"/>
      <c r="D29" s="11"/>
      <c r="E29" s="11"/>
      <c r="F29" s="34"/>
      <c r="G29" s="11"/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0</v>
      </c>
      <c r="V29" s="25">
        <f t="shared" si="1"/>
        <v>0</v>
      </c>
      <c r="W29" s="26">
        <v>0</v>
      </c>
      <c r="X29" s="28">
        <f t="shared" si="3"/>
        <v>0</v>
      </c>
      <c r="Y29" s="28">
        <f t="shared" si="4"/>
        <v>0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745</v>
      </c>
      <c r="C31" s="36">
        <f t="shared" si="5"/>
        <v>69</v>
      </c>
      <c r="D31" s="36">
        <f t="shared" si="5"/>
        <v>1100</v>
      </c>
      <c r="E31" s="36">
        <f t="shared" si="5"/>
        <v>872</v>
      </c>
      <c r="F31" s="36">
        <f t="shared" si="5"/>
        <v>2</v>
      </c>
      <c r="G31" s="36">
        <f t="shared" si="5"/>
        <v>193</v>
      </c>
      <c r="H31" s="36">
        <f t="shared" si="5"/>
        <v>0</v>
      </c>
      <c r="I31" s="36">
        <f t="shared" si="5"/>
        <v>0</v>
      </c>
      <c r="J31" s="36">
        <f t="shared" si="5"/>
        <v>19</v>
      </c>
      <c r="K31" s="36">
        <f t="shared" si="5"/>
        <v>0</v>
      </c>
      <c r="L31" s="36">
        <f t="shared" si="5"/>
        <v>39</v>
      </c>
      <c r="M31" s="36">
        <f t="shared" si="5"/>
        <v>0</v>
      </c>
      <c r="N31" s="36">
        <f t="shared" si="5"/>
        <v>0</v>
      </c>
      <c r="O31" s="36">
        <f t="shared" si="5"/>
        <v>0</v>
      </c>
      <c r="P31" s="36">
        <f t="shared" si="5"/>
        <v>0</v>
      </c>
      <c r="Q31" s="36">
        <f t="shared" si="5"/>
        <v>0</v>
      </c>
      <c r="R31" s="36">
        <f t="shared" si="5"/>
        <v>0</v>
      </c>
      <c r="S31" s="36">
        <f t="shared" si="5"/>
        <v>0</v>
      </c>
      <c r="T31" s="36">
        <f t="shared" si="5"/>
        <v>0</v>
      </c>
      <c r="U31" s="15">
        <f t="shared" si="5"/>
        <v>1194</v>
      </c>
      <c r="V31" s="25">
        <f t="shared" si="1"/>
        <v>1939</v>
      </c>
      <c r="W31" s="26">
        <f>SUM(W4:W30)</f>
        <v>2288</v>
      </c>
      <c r="X31" s="29">
        <f>SUM(X4:X30)</f>
        <v>154880</v>
      </c>
      <c r="Y31" s="27">
        <f t="shared" si="4"/>
        <v>228635</v>
      </c>
    </row>
    <row r="32" s="30" customFormat="1" ht="21" customHeight="1" spans="1:25">
      <c r="A32" s="14" t="s">
        <v>53</v>
      </c>
      <c r="B32" s="15">
        <f t="shared" ref="B32:P32" si="6">B31*B3</f>
        <v>73755</v>
      </c>
      <c r="C32" s="15">
        <f t="shared" si="6"/>
        <v>9108</v>
      </c>
      <c r="D32" s="15">
        <f t="shared" si="6"/>
        <v>6050</v>
      </c>
      <c r="E32" s="15">
        <f t="shared" si="6"/>
        <v>86328</v>
      </c>
      <c r="F32" s="15">
        <f t="shared" si="6"/>
        <v>110</v>
      </c>
      <c r="G32" s="37">
        <f t="shared" si="6"/>
        <v>50952</v>
      </c>
      <c r="H32" s="15">
        <f t="shared" si="6"/>
        <v>0</v>
      </c>
      <c r="I32" s="15">
        <f t="shared" si="6"/>
        <v>0</v>
      </c>
      <c r="J32" s="15">
        <f t="shared" si="6"/>
        <v>1045</v>
      </c>
      <c r="K32" s="15">
        <f t="shared" si="6"/>
        <v>0</v>
      </c>
      <c r="L32" s="15">
        <f t="shared" si="6"/>
        <v>1287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154880</v>
      </c>
      <c r="Y32" s="29">
        <f>SUM(B32:P32)</f>
        <v>228635</v>
      </c>
    </row>
    <row r="33" ht="21" customHeight="1"/>
  </sheetData>
  <protectedRanges>
    <protectedRange sqref="H4:H16" name="区域1_3"/>
    <protectedRange sqref="R4:T4 Q5:T28 M4:M28" name="区域1_3_1_1_2_1"/>
    <protectedRange sqref="E29:G31" name="区域1_1_1_2"/>
    <protectedRange sqref="R4:T4 Q5:T28 M4:M28" name="区域1_3_1_1_1"/>
    <protectedRange sqref="N4:P28" name="区域1_8_1"/>
    <protectedRange sqref="H4:H16" name="区域1_3_1_2"/>
    <protectedRange sqref="H4:H16" name="区域1_3_2_2"/>
    <protectedRange sqref="R4:T4 Q5:T28 M4:M28" name="区域1_3_1_1_3_1"/>
    <protectedRange sqref="H4:H16" name="区域1_3_2_1_1"/>
    <protectedRange sqref="N4:P28" name="区域1_8_2_1_1"/>
    <protectedRange sqref="E29:G31" name="区域1_1_1"/>
    <protectedRange sqref="B4:C22 B24:C24 B26:C28" name="区域1_4"/>
    <protectedRange sqref="N4:P28" name="区域1_8"/>
    <protectedRange sqref="H4:H16" name="区域1_3_2"/>
    <protectedRange sqref="H4:H16" name="区域1_3_2_1"/>
    <protectedRange sqref="E29:G31" name="区域1_1"/>
    <protectedRange sqref="E29:G31" name="区域1_1_1_1"/>
    <protectedRange sqref="N4:P28" name="区域1_8_1_2"/>
    <protectedRange sqref="J4:M22 M23 J24:M24 M25 J26:M28" name="区域1_6_1_1"/>
    <protectedRange sqref="B4:C22 B24:C24 B26:C28" name="区域1"/>
    <protectedRange sqref="I4:I16" name="区域1_5_1"/>
    <protectedRange sqref="R4:T4 Q5:T28" name="区域1_3_1_1_1_2"/>
    <protectedRange sqref="N4:P28" name="区域1_8_1_3"/>
    <protectedRange sqref="F4:F22 F24 F26:F28" name="区域1_2"/>
    <protectedRange sqref="P4:P28" name="区域1_8_1_3_1"/>
    <protectedRange sqref="E30:G31 F29" name="区域1_1_1_3"/>
    <protectedRange sqref="R4:T4 Q5:T28" name="区域1_3_1_1_3_1_1"/>
    <protectedRange sqref="F4:F22 F24 F26:F28" name="区域1_2_1_1"/>
    <protectedRange sqref="N29:P31" name="区域1_7_1"/>
    <protectedRange sqref="B4:B22 B24 B26:B28" name="区域1_4_2"/>
    <protectedRange sqref="E4:E22 E24 E26:E28" name="区域1_9"/>
    <protectedRange sqref="I13" name="区域1_11"/>
    <protectedRange sqref="J4:L22 J24:L24 J26:L28" name="区域1_12"/>
    <protectedRange sqref="D4:D22 D24 D26:D28" name="区域1_13"/>
    <protectedRange sqref="J29" name="区域1_15"/>
    <protectedRange sqref="E29" name="区域1_17"/>
    <protectedRange sqref="H4:H16" name="区域1_3_1"/>
    <protectedRange sqref="R4:T4 Q5:T28 M4:M28" name="区域1_3_1_1_2_1_1"/>
    <protectedRange sqref="E29:G31" name="区域1_1_1_2_1"/>
    <protectedRange sqref="R4:T4 Q5:T28 M4:M28" name="区域1_3_1_1_1_1"/>
    <protectedRange sqref="N4:P28" name="区域1_8_1_1"/>
    <protectedRange sqref="H4:H16" name="区域1_3_1_2_1"/>
    <protectedRange sqref="H4:H16" name="区域1_3_2_2_1"/>
    <protectedRange sqref="R4:T4 Q5:T28 M4:M28" name="区域1_3_1_1_3_1_2"/>
    <protectedRange sqref="H4:H16" name="区域1_3_2_1_1_1"/>
    <protectedRange sqref="N4:P28" name="区域1_8_2_1_1_1"/>
    <protectedRange sqref="E29:G31" name="区域1_1_1_4"/>
    <protectedRange sqref="B4:C22 B24:C24 B26:C28" name="区域1_4_1"/>
    <protectedRange sqref="N4:P28" name="区域1_8_2"/>
    <protectedRange sqref="H4:H16" name="区域1_3_2_3"/>
    <protectedRange sqref="H4:H16" name="区域1_3_2_1_2"/>
    <protectedRange sqref="E29:G31" name="区域1_1_2"/>
    <protectedRange sqref="E29:G31" name="区域1_1_1_1_1"/>
    <protectedRange sqref="N4:P28" name="区域1_8_1_2_1"/>
    <protectedRange sqref="J4:M22 M23 J24:M24 M25 J26:M28" name="区域1_6_1_1_1"/>
    <protectedRange sqref="B4:C22 B24:C24 B26:C28" name="区域1_5"/>
    <protectedRange sqref="I4:I16" name="区域1_5_1_1"/>
    <protectedRange sqref="R4:T4 Q5:T28" name="区域1_3_1_1_1_2_1"/>
    <protectedRange sqref="N4:P28" name="区域1_8_1_3_2"/>
    <protectedRange sqref="F4:F22 F24 F26:F28" name="区域1_2_1"/>
    <protectedRange sqref="P4:P28" name="区域1_8_1_3_1_1"/>
    <protectedRange sqref="E30:G31 F29" name="区域1_1_1_3_1"/>
    <protectedRange sqref="R4:T4 Q5:T28" name="区域1_3_1_1_3_1_1_1"/>
    <protectedRange sqref="F4:F22 F24 F26:F28" name="区域1_2_1_1_1"/>
    <protectedRange sqref="N29:P31" name="区域1_7_1_1"/>
    <protectedRange sqref="B4:B22 B24 B26:B28" name="区域1_4_2_1"/>
    <protectedRange sqref="E4:E22 E24 E26:E28" name="区域1_9_1"/>
    <protectedRange sqref="I13" name="区域1_11_1"/>
    <protectedRange sqref="J4:L22 J24:L24 J26:L28" name="区域1_12_1"/>
    <protectedRange sqref="D4:D22 D24 D26:D28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21:P28 N5:P12 O13:P13 N14:P14 P15 N16:P18 R20:R24 R5:R18" name="区域1_8_1_1_1"/>
    <protectedRange sqref="B14:C14 B5:C9 B16:C16 B26:C26" name="区域1_4_1_1"/>
    <protectedRange sqref="R4:T4 M21:M28 M5:M12 M14 M16:M18 Q20:Q24 S20:T24 Q25:T28 Q5:Q18 S5:T18" name="区域1_3_1_1"/>
    <protectedRange sqref="P4 P20 N21:P28 N5:P12 O13:P13 N14:P14 P15 N16:P18 R20:R24 R5:R18" name="区域1_8_2_1"/>
    <protectedRange sqref="H14 H16 H5:H9" name="区域1_3_1_3"/>
    <protectedRange sqref="H14 H16 H5:H9" name="区域1_3_2_3_1"/>
    <protectedRange sqref="R4:T4 M21:M28 M5:M12 M14 M16:M18 Q20:Q24 S20:T24 Q25:T28 Q5:Q18 S5:T18" name="区域1_3_1_1_3"/>
    <protectedRange sqref="H14 H16 H5:H9" name="区域1_3_2_1_2_1"/>
    <protectedRange sqref="P4 P20 N21:P28 N5:P12 O13:P13 N14:P14 P15 N16:P18 R20:R24 R5:R18" name="区域1_8_2_1_2"/>
    <protectedRange sqref="E29:G31 E33:G33" name="区域1_1_3"/>
    <protectedRange sqref="K27:M28 M24 M21 L12:M12 J14:M14 J5:M9 L10:M10 M11 M18 J16:M16 L17:M17 L22:M22 M23 M25 J26:M26" name="区域1_6"/>
    <protectedRange sqref="E29:G31 E33:G33" name="区域1_1_1_1_1_1"/>
    <protectedRange sqref="R4:T4 M21:M28 M5:M12 M14 M16:M18 Q20:Q24 S20:T24 Q25:T28 Q5:Q18 S5:T18" name="区域1_3_1_1_1_1_1"/>
    <protectedRange sqref="P4 P20 N21:P28 N5:P12 O13:P13 N14:P14 P15 N16:P18 R20:R24 R5:R18" name="区域1_8_1_2_1_1"/>
    <protectedRange sqref="E29:G31 E33:G33" name="区域1_1_1_2_1_1"/>
    <protectedRange sqref="K27:M28 M24 M21 L12:M12 J14:M14 J5:M9 L10:M10 M11 M18 J16:M16 L17:M17 L22:M22 M23 M25 J26:M26" name="区域1_6_1"/>
    <protectedRange sqref="D14 D5:D9 D16 D26" name="区域1_4_1_1_1"/>
    <protectedRange sqref="B14:C14 B5:C9 B16:C16 B26:C26" name="区域1_5_2"/>
    <protectedRange sqref="E14:G14 E5:G9 E16:G16 E26:G26" name="区域1_2_1_2"/>
    <protectedRange sqref="I14 I16 I5: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21:P28 N5:P12 O13:P13 N14:P14 P15 N16:P18 R20:R24 R5:R18" name="区域1_8_1_4"/>
    <protectedRange sqref="E30:G31 F29 E33:G33" name="区域1_1_1_1_1_1_1"/>
    <protectedRange sqref="F14 F5:F9 F16 F26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21:P28 N5:P12 O13:P13 N14:P14 P15 N16:P18 R20:R24 R5:R18" name="区域1_8_2_2"/>
    <protectedRange sqref="R4:T4 Q20:Q24 S20:T24 Q25:T28 Q5:Q18 S5:T18" name="区域1_3_1_1_3_1_2_1"/>
    <protectedRange sqref="E30:G31 F29 E33:G33" name="区域1_1_1_2_1_1_1"/>
    <protectedRange sqref="F14 F5:F9 F16 F26" name="区域1_2_1_3_1"/>
    <protectedRange sqref="I14 I16 I5:I9" name="区域1_5_2_1"/>
    <protectedRange sqref="N29:P31" name="区域1_7_1_1_1"/>
    <protectedRange sqref="P4:P18 P20:P28 R5:R18 R20:R24" name="区域1_8_2_1_1_1_1"/>
    <protectedRange sqref="B14 B5:B9 B16 B26" name="区域1_4_2_1_1"/>
    <protectedRange sqref="C14 C5:C9 C16 C26" name="区域1_3_3"/>
    <protectedRange sqref="E14 E5:E9 E16 E26" name="区域1_9_1_1"/>
    <protectedRange sqref="G14 G5:G9 G16 G26" name="区域1_10"/>
    <protectedRange sqref="H13:H14 H5:H9 H16 H26" name="区域1_3_3_1"/>
    <protectedRange sqref="K27:L28 L12 J14:L14 J5:L9 L10 J16:L16 L17 L22 J26:L26" name="区域1_12_1_1"/>
    <protectedRange sqref="M21:O28 M5:O12 O13 M14:O14 M16:O18" name="区域1_6_2"/>
    <protectedRange sqref="D14 D5:D9 D16 D26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1_2"/>
    <protectedRange sqref="E19:G19" name="区域1_1_1_2_2"/>
    <protectedRange sqref="E19:G19" name="区域1_1_4"/>
    <protectedRange sqref="E19:G19" name="区域1_1_1_1_3"/>
    <protectedRange sqref="E19:G19" name="区域1_1_1_4_1_1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6"/>
    <protectedRange sqref="E4:G4" name="区域1_1_1_1_5"/>
    <protectedRange sqref="E4:G4" name="区域1_1_1_6"/>
    <protectedRange sqref="E4:G4" name="区域1_1_1_2_5"/>
    <protectedRange sqref="N4:O4" name="区域1_7_3"/>
    <protectedRange sqref="E23:G23" name="区域1_1_1_1_6"/>
    <protectedRange sqref="E23:G23" name="区域1_1_1_2_6"/>
    <protectedRange sqref="E20:G20" name="区域1_1_8"/>
    <protectedRange sqref="E20:G20" name="区域1_1_1_1_7"/>
    <protectedRange sqref="E20:G20" name="区域1_1_1_8"/>
    <protectedRange sqref="E20:G20" name="区域1_1_1_2_7"/>
    <protectedRange sqref="N20:O20" name="区域1_7_4"/>
    <protectedRange sqref="E24:G24" name="区域1_1_9"/>
    <protectedRange sqref="E24:G24" name="区域1_1_1_1_8"/>
    <protectedRange sqref="E24:G24" name="区域1_1_1_9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1"/>
    <protectedRange sqref="E22:G22" name="区域1_1_1_1_10"/>
    <protectedRange sqref="E22:G22" name="区域1_1_1_11"/>
    <protectedRange sqref="E22:G22" name="区域1_1_1_2_10"/>
    <protectedRange sqref="E21:G21" name="区域1_1_12"/>
    <protectedRange sqref="E21:G21" name="区域1_1_1_1_11"/>
    <protectedRange sqref="E21:G21" name="区域1_1_1_12"/>
    <protectedRange sqref="E21:G21" name="区域1_1_1_2_11"/>
    <protectedRange sqref="E12:G12" name="区域1_1_13"/>
    <protectedRange sqref="E12:G12" name="区域1_1_1_1_12"/>
    <protectedRange sqref="E12:G12" name="区域1_1_1_13"/>
    <protectedRange sqref="E12:G12" name="区域1_1_1_2_12"/>
    <protectedRange sqref="E13:G13" name="区域1_1_14"/>
    <protectedRange sqref="E13:G13" name="区域1_1_1_1_13"/>
    <protectedRange sqref="E13:G13" name="区域1_1_1_14"/>
    <protectedRange sqref="E13:G13" name="区域1_1_1_2_13"/>
    <protectedRange sqref="N13" name="区域1_7_5"/>
    <protectedRange sqref="E15:G15" name="区域1_1_15"/>
    <protectedRange sqref="E15:G15" name="区域1_1_1_1_14"/>
    <protectedRange sqref="E15:G15" name="区域1_1_1_15"/>
    <protectedRange sqref="E15:G15" name="区域1_1_1_2_14"/>
    <protectedRange sqref="N15:O15" name="区域1_7_6"/>
    <protectedRange sqref="E10:G10" name="区域1_1_16"/>
    <protectedRange sqref="E10:G10" name="区域1_1_1_1_15"/>
    <protectedRange sqref="E10:G10" name="区域1_1_1_16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8"/>
    <protectedRange sqref="E18:G18" name="区域1_1_1_1_17"/>
    <protectedRange sqref="E18:G18" name="区域1_1_1_18"/>
    <protectedRange sqref="E18:G18" name="区域1_1_1_2_17"/>
    <protectedRange sqref="E17:G17" name="区域1_1_19"/>
    <protectedRange sqref="E17:G17" name="区域1_1_1_1_18"/>
    <protectedRange sqref="E17:G17" name="区域1_1_1_19"/>
    <protectedRange sqref="E17:G17" name="区域1_1_1_2_18"/>
    <protectedRange sqref="E23:G23" name="区域1_1_7"/>
    <protectedRange sqref="E23:G23" name="区域1_1_1_1_19"/>
    <protectedRange sqref="E23:G23" name="区域1_1_1_7"/>
    <protectedRange sqref="E23:G23" name="区域1_1_1_2_19"/>
    <protectedRange sqref="E25:G25" name="区域1_1_20"/>
    <protectedRange sqref="E25:G25" name="区域1_1_1_1_20"/>
    <protectedRange sqref="E25:G25" name="区域1_1_1_20"/>
    <protectedRange sqref="E25:G25" name="区域1_1_1_2_20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workbookViewId="0">
      <selection activeCell="K3" sqref="K3"/>
    </sheetView>
  </sheetViews>
  <sheetFormatPr defaultColWidth="9.625" defaultRowHeight="13.5"/>
  <cols>
    <col min="1" max="1" width="9.625" style="3"/>
    <col min="2" max="6" width="6.625" style="3" customWidth="1"/>
    <col min="7" max="7" width="5.875" style="3" customWidth="1"/>
    <col min="8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3"/>
  </cols>
  <sheetData>
    <row r="1" ht="30.75" customHeight="1" spans="1:25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30" customFormat="1" ht="77.25" customHeight="1" spans="1:2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38" t="s">
        <v>65</v>
      </c>
      <c r="L2" s="7" t="s">
        <v>12</v>
      </c>
      <c r="M2" s="16" t="s">
        <v>13</v>
      </c>
      <c r="N2" s="7" t="s">
        <v>14</v>
      </c>
      <c r="O2" s="7" t="s">
        <v>15</v>
      </c>
      <c r="P2" s="39" t="s">
        <v>16</v>
      </c>
      <c r="Q2" s="39" t="s">
        <v>17</v>
      </c>
      <c r="R2" s="39" t="s">
        <v>18</v>
      </c>
      <c r="S2" s="39" t="s">
        <v>19</v>
      </c>
      <c r="T2" s="39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30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/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s="30" customFormat="1" ht="21" customHeight="1" spans="1:25">
      <c r="A4" s="13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1"/>
      <c r="R4" s="42"/>
      <c r="S4" s="42"/>
      <c r="T4" s="42"/>
      <c r="U4" s="25">
        <f t="shared" ref="U4:U29" si="0">SUM(C4:P4)-D4</f>
        <v>0</v>
      </c>
      <c r="V4" s="25">
        <f t="shared" ref="V4:V31" si="1">SUM(B4:P4)-D4</f>
        <v>0</v>
      </c>
      <c r="W4" s="26">
        <f t="shared" ref="W4:W28" si="2">B4+C4+E4+F4+G4*2+H4*3+I4*3+J4+K4*6+L4*5+M4+N4*5+O4*5+P4+Q4</f>
        <v>0</v>
      </c>
      <c r="X4" s="27">
        <f t="shared" ref="X4:X30" si="3">C4*$C$3+D4*$D$3+E4*$E$3+F4*$F$3+G4*$G$3+H4*$H$3+I4*$I$3+J4*$J$3+K4*$K$3+L4*$L$3+M4*$M$3+N4*$N$3+O4*$O$3+P4*$P$3</f>
        <v>0</v>
      </c>
      <c r="Y4" s="27">
        <f t="shared" ref="Y4:Y31" si="4">B4*99+C4*$C$3+D4*$D$3+E4*$E$3+F4*$F$3+G4*$G$3+H4*$H$3+I4*$I$3+J4*$J$3+K4*$K$3+L4*$L$3+M4*$M$3+N4*$N$3+O4*$O$3+P4*$P$3</f>
        <v>0</v>
      </c>
    </row>
    <row r="5" s="30" customFormat="1" ht="21" customHeight="1" spans="1:25">
      <c r="A5" s="13" t="s">
        <v>28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0"/>
      <c r="R5" s="11"/>
      <c r="S5" s="40"/>
      <c r="T5" s="40"/>
      <c r="U5" s="25">
        <f t="shared" si="0"/>
        <v>0</v>
      </c>
      <c r="V5" s="25">
        <f t="shared" si="1"/>
        <v>0</v>
      </c>
      <c r="W5" s="26">
        <f t="shared" si="2"/>
        <v>0</v>
      </c>
      <c r="X5" s="27">
        <f t="shared" si="3"/>
        <v>0</v>
      </c>
      <c r="Y5" s="27">
        <f t="shared" si="4"/>
        <v>0</v>
      </c>
    </row>
    <row r="6" s="30" customFormat="1" ht="21" customHeight="1" spans="1:25">
      <c r="A6" s="13" t="s">
        <v>29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40"/>
      <c r="R6" s="11"/>
      <c r="S6" s="40"/>
      <c r="T6" s="40"/>
      <c r="U6" s="25">
        <f t="shared" si="0"/>
        <v>0</v>
      </c>
      <c r="V6" s="25">
        <f t="shared" si="1"/>
        <v>0</v>
      </c>
      <c r="W6" s="26">
        <f t="shared" si="2"/>
        <v>0</v>
      </c>
      <c r="X6" s="27">
        <f t="shared" si="3"/>
        <v>0</v>
      </c>
      <c r="Y6" s="27">
        <f t="shared" si="4"/>
        <v>0</v>
      </c>
    </row>
    <row r="7" s="30" customFormat="1" ht="21" customHeight="1" spans="1:25">
      <c r="A7" s="13" t="s">
        <v>30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40"/>
      <c r="R7" s="11"/>
      <c r="S7" s="40"/>
      <c r="T7" s="40"/>
      <c r="U7" s="25">
        <f t="shared" si="0"/>
        <v>0</v>
      </c>
      <c r="V7" s="25">
        <f t="shared" si="1"/>
        <v>0</v>
      </c>
      <c r="W7" s="26">
        <f t="shared" si="2"/>
        <v>0</v>
      </c>
      <c r="X7" s="27">
        <f t="shared" si="3"/>
        <v>0</v>
      </c>
      <c r="Y7" s="27">
        <f t="shared" si="4"/>
        <v>0</v>
      </c>
    </row>
    <row r="8" s="30" customFormat="1" ht="21" customHeight="1" spans="1:25">
      <c r="A8" s="13" t="s">
        <v>31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40"/>
      <c r="R8" s="11"/>
      <c r="S8" s="40"/>
      <c r="T8" s="40"/>
      <c r="U8" s="25">
        <f t="shared" si="0"/>
        <v>0</v>
      </c>
      <c r="V8" s="25">
        <f t="shared" si="1"/>
        <v>0</v>
      </c>
      <c r="W8" s="26">
        <f t="shared" si="2"/>
        <v>0</v>
      </c>
      <c r="X8" s="27">
        <f t="shared" si="3"/>
        <v>0</v>
      </c>
      <c r="Y8" s="27">
        <f t="shared" si="4"/>
        <v>0</v>
      </c>
    </row>
    <row r="9" s="30" customFormat="1" ht="21" customHeight="1" spans="1:25">
      <c r="A9" s="13" t="s">
        <v>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40"/>
      <c r="R9" s="11"/>
      <c r="S9" s="40"/>
      <c r="T9" s="40"/>
      <c r="U9" s="25">
        <f t="shared" si="0"/>
        <v>0</v>
      </c>
      <c r="V9" s="25">
        <f t="shared" si="1"/>
        <v>0</v>
      </c>
      <c r="W9" s="26">
        <f t="shared" si="2"/>
        <v>0</v>
      </c>
      <c r="X9" s="27">
        <f t="shared" si="3"/>
        <v>0</v>
      </c>
      <c r="Y9" s="27">
        <f t="shared" si="4"/>
        <v>0</v>
      </c>
    </row>
    <row r="10" s="30" customFormat="1" ht="21" customHeight="1" spans="1:25">
      <c r="A10" s="13" t="s">
        <v>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40"/>
      <c r="R10" s="11"/>
      <c r="S10" s="40"/>
      <c r="T10" s="40"/>
      <c r="U10" s="25">
        <f t="shared" si="0"/>
        <v>0</v>
      </c>
      <c r="V10" s="25">
        <f t="shared" si="1"/>
        <v>0</v>
      </c>
      <c r="W10" s="26">
        <f t="shared" si="2"/>
        <v>0</v>
      </c>
      <c r="X10" s="27">
        <f t="shared" si="3"/>
        <v>0</v>
      </c>
      <c r="Y10" s="27">
        <f t="shared" si="4"/>
        <v>0</v>
      </c>
    </row>
    <row r="11" s="30" customFormat="1" ht="21" customHeight="1" spans="1:25">
      <c r="A11" s="13" t="s">
        <v>34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40"/>
      <c r="R11" s="11"/>
      <c r="S11" s="40"/>
      <c r="T11" s="40"/>
      <c r="U11" s="25">
        <f t="shared" si="0"/>
        <v>0</v>
      </c>
      <c r="V11" s="25">
        <f t="shared" si="1"/>
        <v>0</v>
      </c>
      <c r="W11" s="26">
        <f t="shared" si="2"/>
        <v>0</v>
      </c>
      <c r="X11" s="27">
        <f t="shared" si="3"/>
        <v>0</v>
      </c>
      <c r="Y11" s="27">
        <f t="shared" si="4"/>
        <v>0</v>
      </c>
    </row>
    <row r="12" s="30" customFormat="1" ht="21" customHeight="1" spans="1:25">
      <c r="A12" s="13" t="s">
        <v>35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40"/>
      <c r="R12" s="11"/>
      <c r="S12" s="40"/>
      <c r="T12" s="40"/>
      <c r="U12" s="25">
        <f t="shared" si="0"/>
        <v>0</v>
      </c>
      <c r="V12" s="25">
        <f t="shared" si="1"/>
        <v>0</v>
      </c>
      <c r="W12" s="26">
        <f t="shared" si="2"/>
        <v>0</v>
      </c>
      <c r="X12" s="27">
        <f t="shared" si="3"/>
        <v>0</v>
      </c>
      <c r="Y12" s="27">
        <f t="shared" si="4"/>
        <v>0</v>
      </c>
    </row>
    <row r="13" s="30" customFormat="1" ht="21" customHeight="1" spans="1:25">
      <c r="A13" s="13" t="s">
        <v>36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40"/>
      <c r="R13" s="11"/>
      <c r="S13" s="40"/>
      <c r="T13" s="40"/>
      <c r="U13" s="25">
        <f t="shared" si="0"/>
        <v>0</v>
      </c>
      <c r="V13" s="25">
        <f t="shared" si="1"/>
        <v>0</v>
      </c>
      <c r="W13" s="26">
        <f t="shared" si="2"/>
        <v>0</v>
      </c>
      <c r="X13" s="27">
        <f t="shared" si="3"/>
        <v>0</v>
      </c>
      <c r="Y13" s="27">
        <f t="shared" si="4"/>
        <v>0</v>
      </c>
    </row>
    <row r="14" s="30" customFormat="1" ht="21" customHeight="1" spans="1:25">
      <c r="A14" s="13" t="s">
        <v>37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40"/>
      <c r="R14" s="11"/>
      <c r="S14" s="40"/>
      <c r="T14" s="40"/>
      <c r="U14" s="25">
        <f t="shared" si="0"/>
        <v>0</v>
      </c>
      <c r="V14" s="25">
        <f t="shared" si="1"/>
        <v>0</v>
      </c>
      <c r="W14" s="26">
        <f t="shared" si="2"/>
        <v>0</v>
      </c>
      <c r="X14" s="27">
        <f t="shared" si="3"/>
        <v>0</v>
      </c>
      <c r="Y14" s="27">
        <f t="shared" si="4"/>
        <v>0</v>
      </c>
    </row>
    <row r="15" s="30" customFormat="1" ht="21" customHeight="1" spans="1:25">
      <c r="A15" s="13" t="s">
        <v>38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40"/>
      <c r="R15" s="11"/>
      <c r="S15" s="40"/>
      <c r="T15" s="40"/>
      <c r="U15" s="25">
        <f t="shared" si="0"/>
        <v>0</v>
      </c>
      <c r="V15" s="25">
        <f t="shared" si="1"/>
        <v>0</v>
      </c>
      <c r="W15" s="26">
        <f t="shared" si="2"/>
        <v>0</v>
      </c>
      <c r="X15" s="27">
        <f t="shared" si="3"/>
        <v>0</v>
      </c>
      <c r="Y15" s="27">
        <f t="shared" si="4"/>
        <v>0</v>
      </c>
    </row>
    <row r="16" s="30" customFormat="1" ht="21" customHeight="1" spans="1:25">
      <c r="A16" s="13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40"/>
      <c r="R16" s="11"/>
      <c r="S16" s="40"/>
      <c r="T16" s="40"/>
      <c r="U16" s="25">
        <f t="shared" si="0"/>
        <v>0</v>
      </c>
      <c r="V16" s="25">
        <f t="shared" si="1"/>
        <v>0</v>
      </c>
      <c r="W16" s="26">
        <f t="shared" si="2"/>
        <v>0</v>
      </c>
      <c r="X16" s="27">
        <f t="shared" si="3"/>
        <v>0</v>
      </c>
      <c r="Y16" s="27">
        <f t="shared" si="4"/>
        <v>0</v>
      </c>
    </row>
    <row r="17" s="30" customFormat="1" ht="21" customHeight="1" spans="1:25">
      <c r="A17" s="13" t="s">
        <v>40</v>
      </c>
      <c r="B17" s="11"/>
      <c r="C17" s="11"/>
      <c r="D17" s="11"/>
      <c r="E17" s="11"/>
      <c r="F17" s="11"/>
      <c r="G17" s="11"/>
      <c r="H17" s="11"/>
      <c r="I17" s="40"/>
      <c r="J17" s="11"/>
      <c r="K17" s="11"/>
      <c r="L17" s="11"/>
      <c r="M17" s="11"/>
      <c r="N17" s="11"/>
      <c r="O17" s="11"/>
      <c r="P17" s="11"/>
      <c r="Q17" s="40"/>
      <c r="R17" s="11"/>
      <c r="S17" s="40"/>
      <c r="T17" s="40"/>
      <c r="U17" s="25">
        <f t="shared" si="0"/>
        <v>0</v>
      </c>
      <c r="V17" s="25">
        <f t="shared" si="1"/>
        <v>0</v>
      </c>
      <c r="W17" s="26">
        <f t="shared" si="2"/>
        <v>0</v>
      </c>
      <c r="X17" s="27">
        <f t="shared" si="3"/>
        <v>0</v>
      </c>
      <c r="Y17" s="27">
        <f t="shared" si="4"/>
        <v>0</v>
      </c>
    </row>
    <row r="18" s="30" customFormat="1" ht="21" customHeight="1" spans="1:25">
      <c r="A18" s="13" t="s">
        <v>41</v>
      </c>
      <c r="B18" s="11"/>
      <c r="C18" s="11"/>
      <c r="D18" s="11"/>
      <c r="E18" s="11"/>
      <c r="F18" s="11"/>
      <c r="G18" s="11"/>
      <c r="H18" s="11"/>
      <c r="I18" s="40"/>
      <c r="J18" s="11"/>
      <c r="K18" s="11"/>
      <c r="L18" s="11"/>
      <c r="M18" s="11"/>
      <c r="N18" s="11"/>
      <c r="O18" s="11"/>
      <c r="P18" s="11"/>
      <c r="Q18" s="40"/>
      <c r="R18" s="11"/>
      <c r="S18" s="40"/>
      <c r="T18" s="40"/>
      <c r="U18" s="25">
        <f t="shared" si="0"/>
        <v>0</v>
      </c>
      <c r="V18" s="25">
        <f t="shared" si="1"/>
        <v>0</v>
      </c>
      <c r="W18" s="26">
        <f t="shared" si="2"/>
        <v>0</v>
      </c>
      <c r="X18" s="27">
        <f t="shared" si="3"/>
        <v>0</v>
      </c>
      <c r="Y18" s="27">
        <f t="shared" si="4"/>
        <v>0</v>
      </c>
    </row>
    <row r="19" s="30" customFormat="1" ht="21" customHeight="1" spans="1:25">
      <c r="A19" s="13" t="s">
        <v>42</v>
      </c>
      <c r="B19" s="11"/>
      <c r="C19" s="11"/>
      <c r="D19" s="11"/>
      <c r="E19" s="11"/>
      <c r="F19" s="11"/>
      <c r="G19" s="11"/>
      <c r="H19" s="11"/>
      <c r="I19" s="40"/>
      <c r="J19" s="11"/>
      <c r="K19" s="11"/>
      <c r="L19" s="11"/>
      <c r="M19" s="11"/>
      <c r="N19" s="11"/>
      <c r="O19" s="11"/>
      <c r="P19" s="11"/>
      <c r="Q19" s="40"/>
      <c r="R19" s="11"/>
      <c r="S19" s="40"/>
      <c r="T19" s="40"/>
      <c r="U19" s="25">
        <f t="shared" si="0"/>
        <v>0</v>
      </c>
      <c r="V19" s="25">
        <f t="shared" si="1"/>
        <v>0</v>
      </c>
      <c r="W19" s="26">
        <f t="shared" si="2"/>
        <v>0</v>
      </c>
      <c r="X19" s="27">
        <f t="shared" si="3"/>
        <v>0</v>
      </c>
      <c r="Y19" s="27">
        <f t="shared" si="4"/>
        <v>0</v>
      </c>
    </row>
    <row r="20" s="30" customFormat="1" ht="21" customHeight="1" spans="1:25">
      <c r="A20" s="13" t="s">
        <v>43</v>
      </c>
      <c r="B20" s="11"/>
      <c r="C20" s="11"/>
      <c r="D20" s="11"/>
      <c r="E20" s="11"/>
      <c r="F20" s="11"/>
      <c r="G20" s="11"/>
      <c r="H20" s="11"/>
      <c r="I20" s="40"/>
      <c r="J20" s="11"/>
      <c r="K20" s="11"/>
      <c r="L20" s="11"/>
      <c r="M20" s="11"/>
      <c r="N20" s="11"/>
      <c r="O20" s="11"/>
      <c r="P20" s="11"/>
      <c r="Q20" s="40"/>
      <c r="R20" s="11"/>
      <c r="S20" s="40"/>
      <c r="T20" s="40"/>
      <c r="U20" s="25">
        <f t="shared" si="0"/>
        <v>0</v>
      </c>
      <c r="V20" s="25">
        <f t="shared" si="1"/>
        <v>0</v>
      </c>
      <c r="W20" s="26">
        <f t="shared" si="2"/>
        <v>0</v>
      </c>
      <c r="X20" s="27">
        <f t="shared" si="3"/>
        <v>0</v>
      </c>
      <c r="Y20" s="27">
        <f t="shared" si="4"/>
        <v>0</v>
      </c>
    </row>
    <row r="21" s="30" customFormat="1" ht="21" customHeight="1" spans="1:25">
      <c r="A21" s="13" t="s">
        <v>44</v>
      </c>
      <c r="B21" s="11"/>
      <c r="C21" s="11"/>
      <c r="D21" s="11"/>
      <c r="E21" s="11"/>
      <c r="F21" s="11"/>
      <c r="G21" s="11"/>
      <c r="H21" s="11"/>
      <c r="I21" s="40"/>
      <c r="J21" s="11"/>
      <c r="K21" s="11"/>
      <c r="L21" s="11"/>
      <c r="M21" s="11"/>
      <c r="N21" s="11"/>
      <c r="O21" s="11"/>
      <c r="P21" s="11"/>
      <c r="Q21" s="40"/>
      <c r="R21" s="11"/>
      <c r="S21" s="40"/>
      <c r="T21" s="40"/>
      <c r="U21" s="25">
        <f t="shared" si="0"/>
        <v>0</v>
      </c>
      <c r="V21" s="25">
        <f t="shared" si="1"/>
        <v>0</v>
      </c>
      <c r="W21" s="26">
        <f t="shared" si="2"/>
        <v>0</v>
      </c>
      <c r="X21" s="27">
        <f t="shared" si="3"/>
        <v>0</v>
      </c>
      <c r="Y21" s="27">
        <f t="shared" si="4"/>
        <v>0</v>
      </c>
    </row>
    <row r="22" s="30" customFormat="1" ht="21" customHeight="1" spans="1:25">
      <c r="A22" s="13" t="s">
        <v>45</v>
      </c>
      <c r="B22" s="11"/>
      <c r="C22" s="11"/>
      <c r="D22" s="11"/>
      <c r="E22" s="11"/>
      <c r="F22" s="11"/>
      <c r="G22" s="11"/>
      <c r="H22" s="11"/>
      <c r="I22" s="40"/>
      <c r="J22" s="11"/>
      <c r="K22" s="11"/>
      <c r="L22" s="11"/>
      <c r="M22" s="11"/>
      <c r="N22" s="11"/>
      <c r="O22" s="11"/>
      <c r="P22" s="11"/>
      <c r="Q22" s="40"/>
      <c r="R22" s="11"/>
      <c r="S22" s="40"/>
      <c r="T22" s="40"/>
      <c r="U22" s="25">
        <f t="shared" si="0"/>
        <v>0</v>
      </c>
      <c r="V22" s="25">
        <f t="shared" si="1"/>
        <v>0</v>
      </c>
      <c r="W22" s="26">
        <f t="shared" si="2"/>
        <v>0</v>
      </c>
      <c r="X22" s="27">
        <f t="shared" si="3"/>
        <v>0</v>
      </c>
      <c r="Y22" s="27">
        <f t="shared" si="4"/>
        <v>0</v>
      </c>
    </row>
    <row r="23" s="30" customFormat="1" ht="21" customHeight="1" spans="1:25">
      <c r="A23" s="13" t="s">
        <v>46</v>
      </c>
      <c r="B23" s="11"/>
      <c r="C23" s="11"/>
      <c r="D23" s="11"/>
      <c r="E23" s="11"/>
      <c r="F23" s="11"/>
      <c r="G23" s="11"/>
      <c r="H23" s="11"/>
      <c r="I23" s="40"/>
      <c r="J23" s="11"/>
      <c r="K23" s="11"/>
      <c r="L23" s="11"/>
      <c r="M23" s="11"/>
      <c r="N23" s="11"/>
      <c r="O23" s="11"/>
      <c r="P23" s="11"/>
      <c r="Q23" s="40"/>
      <c r="R23" s="11"/>
      <c r="S23" s="40"/>
      <c r="T23" s="40"/>
      <c r="U23" s="25">
        <f t="shared" si="0"/>
        <v>0</v>
      </c>
      <c r="V23" s="25">
        <f t="shared" si="1"/>
        <v>0</v>
      </c>
      <c r="W23" s="26">
        <f t="shared" si="2"/>
        <v>0</v>
      </c>
      <c r="X23" s="27">
        <f t="shared" si="3"/>
        <v>0</v>
      </c>
      <c r="Y23" s="27">
        <f t="shared" si="4"/>
        <v>0</v>
      </c>
    </row>
    <row r="24" s="30" customFormat="1" ht="21" customHeight="1" spans="1:25">
      <c r="A24" s="13" t="s">
        <v>47</v>
      </c>
      <c r="B24" s="11"/>
      <c r="C24" s="11"/>
      <c r="D24" s="11"/>
      <c r="E24" s="11"/>
      <c r="F24" s="11"/>
      <c r="G24" s="11"/>
      <c r="H24" s="11"/>
      <c r="I24" s="40"/>
      <c r="J24" s="11"/>
      <c r="K24" s="11"/>
      <c r="L24" s="11"/>
      <c r="M24" s="11"/>
      <c r="N24" s="11"/>
      <c r="O24" s="11"/>
      <c r="P24" s="11"/>
      <c r="Q24" s="40"/>
      <c r="R24" s="11"/>
      <c r="S24" s="40"/>
      <c r="T24" s="40"/>
      <c r="U24" s="25">
        <f t="shared" si="0"/>
        <v>0</v>
      </c>
      <c r="V24" s="25">
        <f t="shared" si="1"/>
        <v>0</v>
      </c>
      <c r="W24" s="26">
        <f t="shared" si="2"/>
        <v>0</v>
      </c>
      <c r="X24" s="27">
        <f t="shared" si="3"/>
        <v>0</v>
      </c>
      <c r="Y24" s="27">
        <f t="shared" si="4"/>
        <v>0</v>
      </c>
    </row>
    <row r="25" s="30" customFormat="1" ht="21" customHeight="1" spans="1:25">
      <c r="A25" s="13" t="s">
        <v>48</v>
      </c>
      <c r="B25" s="11"/>
      <c r="C25" s="11"/>
      <c r="D25" s="11"/>
      <c r="E25" s="11"/>
      <c r="F25" s="11"/>
      <c r="G25" s="11"/>
      <c r="H25" s="11"/>
      <c r="I25" s="40"/>
      <c r="J25" s="11"/>
      <c r="K25" s="11"/>
      <c r="L25" s="11"/>
      <c r="M25" s="11"/>
      <c r="N25" s="11"/>
      <c r="O25" s="11"/>
      <c r="P25" s="11"/>
      <c r="Q25" s="40"/>
      <c r="R25" s="40"/>
      <c r="S25" s="40"/>
      <c r="T25" s="40"/>
      <c r="U25" s="25">
        <f t="shared" si="0"/>
        <v>0</v>
      </c>
      <c r="V25" s="25">
        <f t="shared" si="1"/>
        <v>0</v>
      </c>
      <c r="W25" s="26">
        <f t="shared" si="2"/>
        <v>0</v>
      </c>
      <c r="X25" s="27">
        <f t="shared" si="3"/>
        <v>0</v>
      </c>
      <c r="Y25" s="27">
        <f t="shared" si="4"/>
        <v>0</v>
      </c>
    </row>
    <row r="26" s="30" customFormat="1" ht="21" customHeight="1" spans="1:25">
      <c r="A26" s="13" t="s">
        <v>49</v>
      </c>
      <c r="B26" s="11"/>
      <c r="C26" s="11"/>
      <c r="D26" s="11"/>
      <c r="E26" s="11"/>
      <c r="F26" s="11"/>
      <c r="G26" s="11"/>
      <c r="H26" s="11"/>
      <c r="I26" s="40"/>
      <c r="J26" s="11"/>
      <c r="K26" s="11"/>
      <c r="L26" s="11"/>
      <c r="M26" s="11"/>
      <c r="N26" s="11"/>
      <c r="O26" s="11"/>
      <c r="P26" s="11"/>
      <c r="Q26" s="40"/>
      <c r="R26" s="40"/>
      <c r="S26" s="40"/>
      <c r="T26" s="40"/>
      <c r="U26" s="25">
        <f t="shared" si="0"/>
        <v>0</v>
      </c>
      <c r="V26" s="25">
        <f t="shared" si="1"/>
        <v>0</v>
      </c>
      <c r="W26" s="26">
        <f t="shared" si="2"/>
        <v>0</v>
      </c>
      <c r="X26" s="27">
        <f t="shared" si="3"/>
        <v>0</v>
      </c>
      <c r="Y26" s="27">
        <f t="shared" si="4"/>
        <v>0</v>
      </c>
    </row>
    <row r="27" s="30" customFormat="1" ht="21" customHeight="1" spans="1:25">
      <c r="A27" s="13"/>
      <c r="B27" s="11"/>
      <c r="C27" s="11"/>
      <c r="D27" s="11"/>
      <c r="E27" s="11"/>
      <c r="F27" s="11"/>
      <c r="G27" s="11"/>
      <c r="H27" s="11"/>
      <c r="I27" s="35"/>
      <c r="J27" s="11"/>
      <c r="K27" s="11"/>
      <c r="L27" s="11"/>
      <c r="M27" s="11"/>
      <c r="N27" s="11"/>
      <c r="O27" s="11"/>
      <c r="P27" s="11"/>
      <c r="Q27" s="35"/>
      <c r="R27" s="35"/>
      <c r="S27" s="35"/>
      <c r="T27" s="35"/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s="30" customFormat="1" ht="21" customHeight="1" spans="1:25">
      <c r="A28" s="13" t="s">
        <v>61</v>
      </c>
      <c r="B28" s="11"/>
      <c r="C28" s="11"/>
      <c r="D28" s="11"/>
      <c r="E28" s="11"/>
      <c r="F28" s="11"/>
      <c r="G28" s="11"/>
      <c r="H28" s="11"/>
      <c r="I28" s="35"/>
      <c r="J28" s="11"/>
      <c r="K28" s="11"/>
      <c r="L28" s="11"/>
      <c r="M28" s="11"/>
      <c r="N28" s="11"/>
      <c r="O28" s="11"/>
      <c r="P28" s="11"/>
      <c r="Q28" s="35"/>
      <c r="R28" s="35"/>
      <c r="S28" s="35"/>
      <c r="T28" s="35"/>
      <c r="U28" s="25">
        <f t="shared" si="0"/>
        <v>0</v>
      </c>
      <c r="V28" s="25">
        <f t="shared" si="1"/>
        <v>0</v>
      </c>
      <c r="W28" s="26">
        <f t="shared" si="2"/>
        <v>0</v>
      </c>
      <c r="X28" s="27">
        <f t="shared" si="3"/>
        <v>0</v>
      </c>
      <c r="Y28" s="27">
        <f t="shared" si="4"/>
        <v>0</v>
      </c>
    </row>
    <row r="29" s="30" customFormat="1" ht="21" customHeight="1" spans="1:25">
      <c r="A29" s="33" t="s">
        <v>51</v>
      </c>
      <c r="B29" s="11"/>
      <c r="C29" s="11"/>
      <c r="D29" s="11"/>
      <c r="E29" s="11"/>
      <c r="F29" s="34"/>
      <c r="G29" s="11"/>
      <c r="H29" s="34"/>
      <c r="I29" s="34"/>
      <c r="J29" s="1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8">
        <f t="shared" si="0"/>
        <v>0</v>
      </c>
      <c r="V29" s="25">
        <f t="shared" si="1"/>
        <v>0</v>
      </c>
      <c r="W29" s="26">
        <v>0</v>
      </c>
      <c r="X29" s="28">
        <f t="shared" si="3"/>
        <v>0</v>
      </c>
      <c r="Y29" s="28">
        <f t="shared" si="4"/>
        <v>0</v>
      </c>
    </row>
    <row r="30" s="30" customFormat="1" ht="21" hidden="1" customHeight="1" spans="1:25">
      <c r="A30" s="1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s="30" customFormat="1" ht="21" customHeight="1" spans="1:25">
      <c r="A31" s="13" t="s">
        <v>52</v>
      </c>
      <c r="B31" s="36">
        <f t="shared" ref="B31:U31" si="5">SUM(B4:B30)</f>
        <v>0</v>
      </c>
      <c r="C31" s="36">
        <f t="shared" si="5"/>
        <v>0</v>
      </c>
      <c r="D31" s="36">
        <f t="shared" si="5"/>
        <v>0</v>
      </c>
      <c r="E31" s="36">
        <f t="shared" si="5"/>
        <v>0</v>
      </c>
      <c r="F31" s="36">
        <f t="shared" si="5"/>
        <v>0</v>
      </c>
      <c r="G31" s="36">
        <f t="shared" si="5"/>
        <v>0</v>
      </c>
      <c r="H31" s="36">
        <f t="shared" si="5"/>
        <v>0</v>
      </c>
      <c r="I31" s="36">
        <f t="shared" si="5"/>
        <v>0</v>
      </c>
      <c r="J31" s="36">
        <f t="shared" si="5"/>
        <v>0</v>
      </c>
      <c r="K31" s="36">
        <f t="shared" si="5"/>
        <v>0</v>
      </c>
      <c r="L31" s="36">
        <f t="shared" si="5"/>
        <v>0</v>
      </c>
      <c r="M31" s="36">
        <f t="shared" si="5"/>
        <v>0</v>
      </c>
      <c r="N31" s="36">
        <f t="shared" si="5"/>
        <v>0</v>
      </c>
      <c r="O31" s="36">
        <f t="shared" si="5"/>
        <v>0</v>
      </c>
      <c r="P31" s="36">
        <f t="shared" si="5"/>
        <v>0</v>
      </c>
      <c r="Q31" s="36">
        <f t="shared" si="5"/>
        <v>0</v>
      </c>
      <c r="R31" s="36">
        <f t="shared" si="5"/>
        <v>0</v>
      </c>
      <c r="S31" s="36">
        <f t="shared" si="5"/>
        <v>0</v>
      </c>
      <c r="T31" s="36">
        <f t="shared" si="5"/>
        <v>0</v>
      </c>
      <c r="U31" s="15">
        <f t="shared" si="5"/>
        <v>0</v>
      </c>
      <c r="V31" s="25">
        <f t="shared" si="1"/>
        <v>0</v>
      </c>
      <c r="W31" s="26">
        <f>SUM(W4:W30)</f>
        <v>0</v>
      </c>
      <c r="X31" s="29">
        <f>SUM(X4:X30)</f>
        <v>0</v>
      </c>
      <c r="Y31" s="27">
        <f t="shared" si="4"/>
        <v>0</v>
      </c>
    </row>
    <row r="32" s="30" customFormat="1" ht="21" customHeight="1" spans="1:25">
      <c r="A32" s="14" t="s">
        <v>53</v>
      </c>
      <c r="B32" s="15">
        <f t="shared" ref="B32:P32" si="6">B31*B3</f>
        <v>0</v>
      </c>
      <c r="C32" s="15">
        <f t="shared" si="6"/>
        <v>0</v>
      </c>
      <c r="D32" s="15">
        <f t="shared" si="6"/>
        <v>0</v>
      </c>
      <c r="E32" s="15">
        <f t="shared" si="6"/>
        <v>0</v>
      </c>
      <c r="F32" s="15">
        <f t="shared" si="6"/>
        <v>0</v>
      </c>
      <c r="G32" s="37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15">
        <f t="shared" si="6"/>
        <v>0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0</v>
      </c>
      <c r="Y32" s="29">
        <f>SUM(B32:P32)</f>
        <v>0</v>
      </c>
    </row>
    <row r="33" ht="21" customHeight="1"/>
  </sheetData>
  <protectedRanges>
    <protectedRange sqref="H4:H16" name="区域1_3_2"/>
    <protectedRange sqref="R4:T4 Q5:T28 M4:M28" name="区域1_3_1_1_2_1"/>
    <protectedRange sqref="E29:G31" name="区域1_1_1_2"/>
    <protectedRange sqref="R4:T4 Q5:T28 M4:M28" name="区域1_3_1_1_1"/>
    <protectedRange sqref="N4:P28" name="区域1_8"/>
    <protectedRange sqref="H4:H16" name="区域1_3_1_3"/>
    <protectedRange sqref="H4:H16" name="区域1_3_2_2"/>
    <protectedRange sqref="R4:T4 Q5:T28 M4:M28" name="区域1_3_1_1_3_1"/>
    <protectedRange sqref="H4:H16" name="区域1_3_2_1_1"/>
    <protectedRange sqref="N4:P28" name="区域1_8_2_1_1"/>
    <protectedRange sqref="E29:G31" name="区域1_1_1"/>
    <protectedRange sqref="B4:C28" name="区域1_4"/>
    <protectedRange sqref="N4:P28" name="区域1_8_1"/>
    <protectedRange sqref="H4:H16" name="区域1_3_2_1"/>
    <protectedRange sqref="H4:H16" name="区域1_3_2_1_2"/>
    <protectedRange sqref="E29:G31" name="区域1_1"/>
    <protectedRange sqref="E29:G31" name="区域1_1_1_1"/>
    <protectedRange sqref="N4:P28" name="区域1_8_1_2"/>
    <protectedRange sqref="J4:M28" name="区域1_6_1"/>
    <protectedRange sqref="B4:C28" name="区域1"/>
    <protectedRange sqref="I4:I16" name="区域1_5_1"/>
    <protectedRange sqref="R4:T4 Q5:T28" name="区域1_3_1_1_1_2"/>
    <protectedRange sqref="N4:P28" name="区域1_8_1_3"/>
    <protectedRange sqref="F4:F28" name="区域1_2_2"/>
    <protectedRange sqref="P4:P28" name="区域1_8_1_3_1"/>
    <protectedRange sqref="E30:G31 F29" name="区域1_1_1_3"/>
    <protectedRange sqref="R4:T4 Q5:T28" name="区域1_3_1_1_3_1_1"/>
    <protectedRange sqref="F4:F28" name="区域1_2_1_1"/>
    <protectedRange sqref="N29:P31" name="区域1_7_1"/>
    <protectedRange sqref="B4:B28" name="区域1_4_2"/>
    <protectedRange sqref="E4:E28" name="区域1_9"/>
    <protectedRange sqref="I13" name="区域1_11"/>
    <protectedRange sqref="J4:L28" name="区域1_12"/>
    <protectedRange sqref="D4:D28" name="区域1_13"/>
    <protectedRange sqref="J29" name="区域1_15"/>
    <protectedRange sqref="E29" name="区域1_17"/>
    <protectedRange sqref="H4:H16" name="区域1_3"/>
    <protectedRange sqref="R4:T4 Q5:T28 M4:M28" name="区域1_3_1_1_2_1_1"/>
    <protectedRange sqref="E29:G31" name="区域1_1_1_2_1"/>
    <protectedRange sqref="R4:T4 Q5:T28 M4:M28" name="区域1_3_1_1_1_1"/>
    <protectedRange sqref="N4:P28" name="区域1_8_1_1"/>
    <protectedRange sqref="H4:H16" name="区域1_3_1_2"/>
    <protectedRange sqref="H4:H16" name="区域1_3_2_2_1"/>
    <protectedRange sqref="R4:T4 Q5:T28 M4:M28" name="区域1_3_1_1_3_1_2"/>
    <protectedRange sqref="H4:H16" name="区域1_3_2_1_1_1"/>
    <protectedRange sqref="N4:P28" name="区域1_8_2_1_1_1"/>
    <protectedRange sqref="E29:G31" name="区域1_1_1_4"/>
    <protectedRange sqref="B4:C28" name="区域1_4_1"/>
    <protectedRange sqref="N4:P28" name="区域1_8_2"/>
    <protectedRange sqref="H4:H16" name="区域1_3_2_3"/>
    <protectedRange sqref="H4:H16" name="区域1_3_2_1_3"/>
    <protectedRange sqref="E29:G31" name="区域1_1_2"/>
    <protectedRange sqref="E29:G31" name="区域1_1_1_1_1"/>
    <protectedRange sqref="N4:P28" name="区域1_8_1_2_1"/>
    <protectedRange sqref="J4:M28" name="区域1_6_1_1"/>
    <protectedRange sqref="B4:C28" name="区域1_2"/>
    <protectedRange sqref="I4:I16" name="区域1_5_1_1"/>
    <protectedRange sqref="R4:T4 Q5:T28" name="区域1_3_1_1_1_2_1"/>
    <protectedRange sqref="N4:P28" name="区域1_8_1_3_2"/>
    <protectedRange sqref="F4:F28" name="区域1_2_1"/>
    <protectedRange sqref="P4:P28" name="区域1_8_1_3_1_1"/>
    <protectedRange sqref="E30:G31 F29" name="区域1_1_1_3_1"/>
    <protectedRange sqref="R4:T4 Q5:T28" name="区域1_3_1_1_3_1_1_1"/>
    <protectedRange sqref="F4:F28" name="区域1_2_1_1_1"/>
    <protectedRange sqref="N29:P31" name="区域1_7_1_1"/>
    <protectedRange sqref="B4:B28" name="区域1_4_2_1"/>
    <protectedRange sqref="E4:E28" name="区域1_9_1"/>
    <protectedRange sqref="I13" name="区域1_11_1"/>
    <protectedRange sqref="J4:L28" name="区域1_12_1"/>
    <protectedRange sqref="D4:D28" name="区域1_13_1"/>
    <protectedRange sqref="J29" name="区域1_15_1"/>
    <protectedRange sqref="E29" name="区域1_17_1"/>
    <protectedRange sqref="E29:G31 E33:G33" name="区域1_1_2_1"/>
    <protectedRange sqref="E29:G31 E33:G33" name="区域1_1_1_4_1"/>
    <protectedRange sqref="P4 P20 N21:P28 N5:P12 O13:P13 N14:P14 P15 N16:P18 R20:R24 R5:R18" name="区域1_8_1_1_1"/>
    <protectedRange sqref="B25:C26 B14:C14 B5:C9 B16:C16" name="区域1_4_1_1"/>
    <protectedRange sqref="R4:T4 M21:M28 M5:M12 M14 M16:M18 Q20:Q24 S20:T24 Q25:T28 Q5:Q18 S5:T18" name="区域1_3_1_1"/>
    <protectedRange sqref="P4 P20 N21:P28 N5:P12 O13:P13 N14:P14 P15 N16:P18 R20:R24 R5:R18" name="区域1_8_2_1"/>
    <protectedRange sqref="H14 H16 H5:H9" name="区域1_3_1"/>
    <protectedRange sqref="H14 H16 H5:H9" name="区域1_3_2_3_1"/>
    <protectedRange sqref="R4:T4 M21:M28 M5:M12 M14 M16:M18 Q20:Q24 S20:T24 Q25:T28 Q5:Q18 S5:T18" name="区域1_3_1_1_3"/>
    <protectedRange sqref="H14 H16 H5:H9" name="区域1_3_2_1_2_1"/>
    <protectedRange sqref="P4 P20 N21:P28 N5:P12 O13:P13 N14:P14 P15 N16:P18 R20:R24 R5:R18" name="区域1_8_2_1_2"/>
    <protectedRange sqref="E29:G31 E33:G33" name="区域1_1_3"/>
    <protectedRange sqref="K27:M28 L22:M23 M24 J25:M26 M21 L12:M12 J14:M14 J5:M9 L10:M10 M11 M18 J16:M16 L17:M17" name="区域1_6"/>
    <protectedRange sqref="E29:G31 E33:G33" name="区域1_1_1_1_1_1"/>
    <protectedRange sqref="R4:T4 M21:M28 M5:M12 M14 M16:M18 Q20:Q24 S20:T24 Q25:T28 Q5:Q18 S5:T18" name="区域1_3_1_1_1_1_1"/>
    <protectedRange sqref="P4 P20 N21:P28 N5:P12 O13:P13 N14:P14 P15 N16:P18 R20:R24 R5:R18" name="区域1_8_1_2_1_1"/>
    <protectedRange sqref="E29:G31 E33:G33" name="区域1_1_1_2_1_1"/>
    <protectedRange sqref="K27:M28 L22:M23 M24 J25:M26 M21 L12:M12 J14:M14 J5:M9 L10:M10 M11 M18 J16:M16 L17:M17" name="区域1_6_1_2"/>
    <protectedRange sqref="D25:D26 D14 D5:D9 D16" name="区域1_4_1_1_1"/>
    <protectedRange sqref="B25:C26 B14:C14 B5:C9 B16:C16" name="区域1_5"/>
    <protectedRange sqref="E25:G26 E14:G14 E5:G9 E16:G16" name="区域1_2_1_2"/>
    <protectedRange sqref="I14 I16 I5:I9" name="区域1_5_1_1_1"/>
    <protectedRange sqref="N29:P31" name="区域1_7"/>
    <protectedRange sqref="R4:T4 Q20:Q24 S20:T24 Q25:T28 Q5:Q18 S5:T18" name="区域1_3_1_1_1_3"/>
    <protectedRange sqref="E30:G31 F29 E33:G33" name="区域1_1_3_1"/>
    <protectedRange sqref="P4 P20 N21:P28 N5:P12 O13:P13 N14:P14 P15 N16:P18 R20:R24 R5:R18" name="区域1_8_1_4"/>
    <protectedRange sqref="E30:G31 F29 E33:G33" name="区域1_1_1_1_1_1_1"/>
    <protectedRange sqref="F25:F26 F14 F5:F9 F16" name="区域1_2_1_3"/>
    <protectedRange sqref="R4:T4 Q20:Q24 S20:T24 Q25:T28 Q5:Q18 S5:T18" name="区域1_3_1_1_1_2_1_1"/>
    <protectedRange sqref="P4:P18 P20:P28 R5:R18 R20:R24" name="区域1_8_1_3_2_1"/>
    <protectedRange sqref="R4:T4 Q20:Q24 S20:T24 Q25:T28 Q5:Q18 S5:T18" name="区域1_3_1_1_2"/>
    <protectedRange sqref="E30:G31 F29 E33:G33" name="区域1_1_1_3_1_1"/>
    <protectedRange sqref="P4 P20 N21:P28 N5:P12 O13:P13 N14:P14 P15 N16:P18 R20:R24 R5:R18" name="区域1_8_2_2"/>
    <protectedRange sqref="R4:T4 Q20:Q24 S20:T24 Q25:T28 Q5:Q18 S5:T18" name="区域1_3_1_1_3_1_2_1"/>
    <protectedRange sqref="E30:G31 F29 E33:G33" name="区域1_1_1_2_1_1_1"/>
    <protectedRange sqref="F25:F26 F14 F5:F9 F16" name="区域1_2_1_3_1"/>
    <protectedRange sqref="I14 I16 I5:I9" name="区域1_5_2"/>
    <protectedRange sqref="N29:P31" name="区域1_7_1_1_1"/>
    <protectedRange sqref="P4:P18 P20:P28 R5:R18 R20:R24" name="区域1_8_2_1_1_1_1"/>
    <protectedRange sqref="B25:B26 B14 B5:B9 B16" name="区域1_4_2_1_1"/>
    <protectedRange sqref="C25:C26 C14 C5:C9 C16" name="区域1_3_3"/>
    <protectedRange sqref="E25:E26 E14 E5:E9 E16" name="区域1_9_1_1"/>
    <protectedRange sqref="G25:G26 G14 G5:G9 G16" name="区域1_10"/>
    <protectedRange sqref="H25:H26 H13:H14 H5:H9 H16" name="区域1_3_3_1"/>
    <protectedRange sqref="K27:L28 L22:L23 J25:L26 L12 J14:L14 J5:L9 L10 J16:L16 L17" name="区域1_12_1_1"/>
    <protectedRange sqref="M21:O28 M5:O12 O13 M14:O14 M16:O18" name="区域1_6_2"/>
    <protectedRange sqref="D25:D26 D14 D5:D9 D16" name="区域1_13_1_1"/>
    <protectedRange sqref="D29" name="区域1_14"/>
    <protectedRange sqref="J29" name="区域1_15_1_1"/>
    <protectedRange sqref="B29:C29" name="区域1_16"/>
    <protectedRange sqref="E29" name="区域1_17_1_1"/>
    <protectedRange sqref="G29" name="区域1_18"/>
    <protectedRange sqref="E19:G19" name="区域1_1_1_1_2"/>
    <protectedRange sqref="E19:G19" name="区域1_1_1_2_2"/>
    <protectedRange sqref="E19:G19" name="区域1_1_4"/>
    <protectedRange sqref="E19:G19" name="区域1_1_1_1_3"/>
    <protectedRange sqref="E19:G19" name="区域1_1_1_4_1_1"/>
    <protectedRange sqref="E19:G19" name="区域1_1_1_2_3"/>
    <protectedRange sqref="N19:P19 R19" name="区域1_7_2"/>
    <protectedRange sqref="E28:G28" name="区域1_1_5"/>
    <protectedRange sqref="E28:G28" name="区域1_1_1_1_4"/>
    <protectedRange sqref="E28:G28" name="区域1_1_1_5"/>
    <protectedRange sqref="E28:G28" name="区域1_1_1_2_4"/>
    <protectedRange sqref="E4:G4" name="区域1_1_6"/>
    <protectedRange sqref="E4:G4" name="区域1_1_1_1_5"/>
    <protectedRange sqref="E4:G4" name="区域1_1_1_6"/>
    <protectedRange sqref="E4:G4" name="区域1_1_1_2_5"/>
    <protectedRange sqref="N4:O4" name="区域1_7_3"/>
    <protectedRange sqref="E23:G23" name="区域1_1_7"/>
    <protectedRange sqref="E23:G23" name="区域1_1_1_1_6"/>
    <protectedRange sqref="E23:G23" name="区域1_1_1_7"/>
    <protectedRange sqref="E23:G23" name="区域1_1_1_2_6"/>
    <protectedRange sqref="E20:G20" name="区域1_1_8"/>
    <protectedRange sqref="E20:G20" name="区域1_1_1_1_7"/>
    <protectedRange sqref="E20:G20" name="区域1_1_1_8"/>
    <protectedRange sqref="E20:G20" name="区域1_1_1_2_7"/>
    <protectedRange sqref="N20:O20" name="区域1_7_4"/>
    <protectedRange sqref="E24:G24" name="区域1_1_9"/>
    <protectedRange sqref="E24:G24" name="区域1_1_1_1_8"/>
    <protectedRange sqref="E24:G24" name="区域1_1_1_9"/>
    <protectedRange sqref="E24:G24" name="区域1_1_1_2_8"/>
    <protectedRange sqref="E27:G27" name="区域1_1_10"/>
    <protectedRange sqref="E27:G27" name="区域1_1_1_1_9"/>
    <protectedRange sqref="E27:G27" name="区域1_1_1_10"/>
    <protectedRange sqref="E27:G27" name="区域1_1_1_2_9"/>
    <protectedRange sqref="E22:G22" name="区域1_1_11"/>
    <protectedRange sqref="E22:G22" name="区域1_1_1_1_10"/>
    <protectedRange sqref="E22:G22" name="区域1_1_1_11"/>
    <protectedRange sqref="E22:G22" name="区域1_1_1_2_10"/>
    <protectedRange sqref="E21:G21" name="区域1_1_12"/>
    <protectedRange sqref="E21:G21" name="区域1_1_1_1_11"/>
    <protectedRange sqref="E21:G21" name="区域1_1_1_12"/>
    <protectedRange sqref="E21:G21" name="区域1_1_1_2_11"/>
    <protectedRange sqref="E12:G12" name="区域1_1_13"/>
    <protectedRange sqref="E12:G12" name="区域1_1_1_1_12"/>
    <protectedRange sqref="E12:G12" name="区域1_1_1_13"/>
    <protectedRange sqref="E12:G12" name="区域1_1_1_2_12"/>
    <protectedRange sqref="E13:G13" name="区域1_1_14"/>
    <protectedRange sqref="E13:G13" name="区域1_1_1_1_13"/>
    <protectedRange sqref="E13:G13" name="区域1_1_1_14"/>
    <protectedRange sqref="E13:G13" name="区域1_1_1_2_13"/>
    <protectedRange sqref="N13" name="区域1_7_5"/>
    <protectedRange sqref="E15:G15" name="区域1_1_15"/>
    <protectedRange sqref="E15:G15" name="区域1_1_1_1_14"/>
    <protectedRange sqref="E15:G15" name="区域1_1_1_15"/>
    <protectedRange sqref="E15:G15" name="区域1_1_1_2_14"/>
    <protectedRange sqref="N15:O15" name="区域1_7_6"/>
    <protectedRange sqref="E10:G10" name="区域1_1_16"/>
    <protectedRange sqref="E10:G10" name="区域1_1_1_1_15"/>
    <protectedRange sqref="E10:G10" name="区域1_1_1_16"/>
    <protectedRange sqref="E10:G10" name="区域1_1_1_2_15"/>
    <protectedRange sqref="E11:G11" name="区域1_1_17"/>
    <protectedRange sqref="E11:G11" name="区域1_1_1_1_16"/>
    <protectedRange sqref="E11:G11" name="区域1_1_1_17"/>
    <protectedRange sqref="E11:G11" name="区域1_1_1_2_16"/>
    <protectedRange sqref="E18:G18" name="区域1_1_18"/>
    <protectedRange sqref="E18:G18" name="区域1_1_1_1_17"/>
    <protectedRange sqref="E18:G18" name="区域1_1_1_18"/>
    <protectedRange sqref="E18:G18" name="区域1_1_1_2_17"/>
    <protectedRange sqref="E17:G17" name="区域1_1_19"/>
    <protectedRange sqref="E17:G17" name="区域1_1_1_1_18"/>
    <protectedRange sqref="E17:G17" name="区域1_1_1_19"/>
    <protectedRange sqref="E17:G17" name="区域1_1_1_2_18"/>
  </protectedRanges>
  <mergeCells count="7">
    <mergeCell ref="A1:Y1"/>
    <mergeCell ref="A2:A3"/>
    <mergeCell ref="U2:U3"/>
    <mergeCell ref="V2:V3"/>
    <mergeCell ref="W2:W3"/>
    <mergeCell ref="X2:X3"/>
    <mergeCell ref="Y2:Y3"/>
  </mergeCell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opLeftCell="A2" workbookViewId="0">
      <selection activeCell="R25" sqref="R25"/>
    </sheetView>
  </sheetViews>
  <sheetFormatPr defaultColWidth="9.625" defaultRowHeight="13.5"/>
  <cols>
    <col min="1" max="1" width="9.625" style="2"/>
    <col min="2" max="6" width="6.625" style="2" customWidth="1"/>
    <col min="7" max="7" width="5.875" style="2" customWidth="1"/>
    <col min="8" max="20" width="6.625" style="2" customWidth="1"/>
    <col min="21" max="21" width="6.625" style="3" customWidth="1"/>
    <col min="22" max="23" width="9.625" style="3"/>
    <col min="24" max="24" width="8.625" style="3" customWidth="1"/>
    <col min="25" max="25" width="10.375" style="3"/>
    <col min="26" max="16384" width="9.625" style="2"/>
  </cols>
  <sheetData>
    <row r="1" ht="30.75" customHeight="1" spans="1:25">
      <c r="A1" s="4" t="s">
        <v>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77.25" customHeight="1" spans="1:2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6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17" t="s">
        <v>21</v>
      </c>
      <c r="V2" s="17" t="s">
        <v>22</v>
      </c>
      <c r="W2" s="18" t="s">
        <v>23</v>
      </c>
      <c r="X2" s="19" t="s">
        <v>24</v>
      </c>
      <c r="Y2" s="19" t="s">
        <v>25</v>
      </c>
    </row>
    <row r="3" s="1" customFormat="1" ht="21" customHeight="1" spans="1:25">
      <c r="A3" s="5"/>
      <c r="B3" s="8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26</v>
      </c>
      <c r="U3" s="22"/>
      <c r="V3" s="22"/>
      <c r="W3" s="23"/>
      <c r="X3" s="24"/>
      <c r="Y3" s="24"/>
    </row>
    <row r="4" ht="21" customHeight="1" spans="1:25">
      <c r="A4" s="10" t="s">
        <v>27</v>
      </c>
      <c r="B4" s="11">
        <f>SUM('1月:12月'!B4:B4)</f>
        <v>1884</v>
      </c>
      <c r="C4" s="11">
        <f>SUM('1月:12月'!C4:C4)</f>
        <v>461</v>
      </c>
      <c r="D4" s="11">
        <f>SUM('1月:12月'!D4:D4)</f>
        <v>5473</v>
      </c>
      <c r="E4" s="11">
        <f>SUM('1月:12月'!E4:E4)</f>
        <v>4227</v>
      </c>
      <c r="F4" s="11">
        <f>SUM('1月:12月'!F4:F4)</f>
        <v>7</v>
      </c>
      <c r="G4" s="11">
        <f>SUM('1月:12月'!G4:G4)</f>
        <v>1720</v>
      </c>
      <c r="H4" s="11">
        <f>SUM('1月:12月'!H4:H4)</f>
        <v>222</v>
      </c>
      <c r="I4" s="11">
        <f>SUM('1月:12月'!I4:I4)</f>
        <v>45</v>
      </c>
      <c r="J4" s="11">
        <f>SUM('1月:12月'!J4:J4)</f>
        <v>21</v>
      </c>
      <c r="K4" s="11">
        <f>SUM('1月:12月'!K4:K4)</f>
        <v>18</v>
      </c>
      <c r="L4" s="11">
        <f>SUM('1月:12月'!L4:L4)</f>
        <v>19</v>
      </c>
      <c r="M4" s="11">
        <f>SUM('1月:12月'!M4:M4)</f>
        <v>0</v>
      </c>
      <c r="N4" s="11">
        <f>SUM('1月:12月'!N4:N4)</f>
        <v>78</v>
      </c>
      <c r="O4" s="11">
        <f>SUM('1月:12月'!O4:O4)</f>
        <v>287</v>
      </c>
      <c r="P4" s="11">
        <f>SUM('1月:12月'!P4:P4)</f>
        <v>0</v>
      </c>
      <c r="Q4" s="11">
        <f>SUM('1月:12月'!Q4:Q4)</f>
        <v>1510</v>
      </c>
      <c r="R4" s="11">
        <f>SUM('1月:12月'!R4:R4)</f>
        <v>658</v>
      </c>
      <c r="S4" s="11">
        <f>SUM('1月:12月'!S4:S4)</f>
        <v>2</v>
      </c>
      <c r="T4" s="11">
        <f>SUM('1月:12月'!T4:T4)</f>
        <v>0</v>
      </c>
      <c r="U4" s="25">
        <f t="shared" ref="U4:U29" si="0">SUM(C4:P4)-D4</f>
        <v>7105</v>
      </c>
      <c r="V4" s="25">
        <f t="shared" ref="V4:V31" si="1">SUM(B4:P4)-D4</f>
        <v>8989</v>
      </c>
      <c r="W4" s="26">
        <f t="shared" ref="W4:W28" si="2">B4+C4+E4+F4+G4*2+H4*3+I4*3+J4+K4*6+L4*5+M4+N4*5+O4*5+P4+Q4</f>
        <v>14379</v>
      </c>
      <c r="X4" s="27">
        <f t="shared" ref="X4:X30" si="3">C4*$C$3+D4*$D$3+E4*$E$3+F4*$F$3+G4*$G$3+H4*$H$3+I4*$I$3+J4*$J$3+K4*$K$3+L4*$L$3+M4*$M$3+N4*$N$3+O4*$O$3+P4*$P$3</f>
        <v>1101934.5</v>
      </c>
      <c r="Y4" s="27">
        <f t="shared" ref="Y4:Y31" si="4">B4*99+C4*$C$3+D4*$D$3+E4*$E$3+F4*$F$3+G4*$G$3+H4*$H$3+I4*$I$3+J4*$J$3+K4*$K$3+L4*$L$3+M4*$M$3+N4*$N$3+O4*$O$3+P4*$P$3</f>
        <v>1288450.5</v>
      </c>
    </row>
    <row r="5" ht="21" customHeight="1" spans="1:25">
      <c r="A5" s="10" t="s">
        <v>28</v>
      </c>
      <c r="B5" s="11">
        <f>SUM('1月:12月'!B5:B5)</f>
        <v>2878</v>
      </c>
      <c r="C5" s="11">
        <f>SUM('1月:12月'!C5:C5)</f>
        <v>14</v>
      </c>
      <c r="D5" s="11">
        <f>SUM('1月:12月'!D5:D5)</f>
        <v>6128</v>
      </c>
      <c r="E5" s="11">
        <f>SUM('1月:12月'!E5:E5)</f>
        <v>5763</v>
      </c>
      <c r="F5" s="11">
        <f>SUM('1月:12月'!F5:F5)</f>
        <v>2</v>
      </c>
      <c r="G5" s="11">
        <f>SUM('1月:12月'!G5:G5)</f>
        <v>877</v>
      </c>
      <c r="H5" s="11">
        <f>SUM('1月:12月'!H5:H5)</f>
        <v>0</v>
      </c>
      <c r="I5" s="11">
        <f>SUM('1月:12月'!I5:I5)</f>
        <v>0</v>
      </c>
      <c r="J5" s="11">
        <f>SUM('1月:12月'!J5:J5)</f>
        <v>213</v>
      </c>
      <c r="K5" s="11">
        <f>SUM('1月:12月'!K5:K5)</f>
        <v>1</v>
      </c>
      <c r="L5" s="11">
        <f>SUM('1月:12月'!L5:L5)</f>
        <v>3</v>
      </c>
      <c r="M5" s="11">
        <f>SUM('1月:12月'!M5:M5)</f>
        <v>0</v>
      </c>
      <c r="N5" s="11">
        <f>SUM('1月:12月'!N5:N5)</f>
        <v>0</v>
      </c>
      <c r="O5" s="11">
        <f>SUM('1月:12月'!O5:O5)</f>
        <v>1</v>
      </c>
      <c r="P5" s="11">
        <f>SUM('1月:12月'!P5:P5)</f>
        <v>0</v>
      </c>
      <c r="Q5" s="11">
        <f>SUM('1月:12月'!Q5:Q5)</f>
        <v>0</v>
      </c>
      <c r="R5" s="11">
        <f>SUM('1月:12月'!R5:R5)</f>
        <v>38</v>
      </c>
      <c r="S5" s="11">
        <f>SUM('1月:12月'!S5:S5)</f>
        <v>0</v>
      </c>
      <c r="T5" s="11">
        <f>SUM('1月:12月'!T5:T5)</f>
        <v>0</v>
      </c>
      <c r="U5" s="25">
        <f t="shared" si="0"/>
        <v>6874</v>
      </c>
      <c r="V5" s="25">
        <f t="shared" si="1"/>
        <v>9752</v>
      </c>
      <c r="W5" s="26">
        <f t="shared" si="2"/>
        <v>10650</v>
      </c>
      <c r="X5" s="27">
        <f t="shared" si="3"/>
        <v>849816</v>
      </c>
      <c r="Y5" s="27">
        <f t="shared" si="4"/>
        <v>1134738</v>
      </c>
    </row>
    <row r="6" ht="21" customHeight="1" spans="1:25">
      <c r="A6" s="10" t="s">
        <v>29</v>
      </c>
      <c r="B6" s="11">
        <f>SUM('1月:12月'!B6:B6)</f>
        <v>2320</v>
      </c>
      <c r="C6" s="11">
        <f>SUM('1月:12月'!C6:C6)</f>
        <v>955</v>
      </c>
      <c r="D6" s="11">
        <f>SUM('1月:12月'!D6:D6)</f>
        <v>5426</v>
      </c>
      <c r="E6" s="11">
        <f>SUM('1月:12月'!E6:E6)</f>
        <v>3502</v>
      </c>
      <c r="F6" s="11">
        <f>SUM('1月:12月'!F6:F6)</f>
        <v>0</v>
      </c>
      <c r="G6" s="11">
        <f>SUM('1月:12月'!G6:G6)</f>
        <v>1359</v>
      </c>
      <c r="H6" s="11">
        <f>SUM('1月:12月'!H6:H6)</f>
        <v>0</v>
      </c>
      <c r="I6" s="11">
        <f>SUM('1月:12月'!I6:I6)</f>
        <v>0</v>
      </c>
      <c r="J6" s="11">
        <f>SUM('1月:12月'!J6:J6)</f>
        <v>38</v>
      </c>
      <c r="K6" s="11">
        <f>SUM('1月:12月'!K6:K6)</f>
        <v>8</v>
      </c>
      <c r="L6" s="11">
        <f>SUM('1月:12月'!L6:L6)</f>
        <v>0</v>
      </c>
      <c r="M6" s="11">
        <f>SUM('1月:12月'!M6:M6)</f>
        <v>0</v>
      </c>
      <c r="N6" s="11">
        <f>SUM('1月:12月'!N6:N6)</f>
        <v>0</v>
      </c>
      <c r="O6" s="11">
        <f>SUM('1月:12月'!O6:O6)</f>
        <v>0</v>
      </c>
      <c r="P6" s="11">
        <f>SUM('1月:12月'!P6:P6)</f>
        <v>0</v>
      </c>
      <c r="Q6" s="11">
        <f>SUM('1月:12月'!Q6:Q6)</f>
        <v>0</v>
      </c>
      <c r="R6" s="11">
        <f>SUM('1月:12月'!R6:R6)</f>
        <v>30</v>
      </c>
      <c r="S6" s="11">
        <f>SUM('1月:12月'!S6:S6)</f>
        <v>0</v>
      </c>
      <c r="T6" s="11">
        <f>SUM('1月:12月'!T6:T6)</f>
        <v>0</v>
      </c>
      <c r="U6" s="25">
        <f t="shared" si="0"/>
        <v>5862</v>
      </c>
      <c r="V6" s="25">
        <f t="shared" si="1"/>
        <v>8182</v>
      </c>
      <c r="W6" s="26">
        <f t="shared" si="2"/>
        <v>9581</v>
      </c>
      <c r="X6" s="27">
        <f t="shared" si="3"/>
        <v>864523</v>
      </c>
      <c r="Y6" s="27">
        <f t="shared" si="4"/>
        <v>1094203</v>
      </c>
    </row>
    <row r="7" ht="21" customHeight="1" spans="1:25">
      <c r="A7" s="10" t="s">
        <v>30</v>
      </c>
      <c r="B7" s="11">
        <f>SUM('1月:12月'!B7:B7)</f>
        <v>4129</v>
      </c>
      <c r="C7" s="11">
        <f>SUM('1月:12月'!C7:C7)</f>
        <v>1419</v>
      </c>
      <c r="D7" s="11">
        <f>SUM('1月:12月'!D7:D7)</f>
        <v>8715</v>
      </c>
      <c r="E7" s="11">
        <f>SUM('1月:12月'!E7:E7)</f>
        <v>5817</v>
      </c>
      <c r="F7" s="11">
        <f>SUM('1月:12月'!F7:F7)</f>
        <v>6</v>
      </c>
      <c r="G7" s="11">
        <f>SUM('1月:12月'!G7:G7)</f>
        <v>2016</v>
      </c>
      <c r="H7" s="11">
        <f>SUM('1月:12月'!H7:H7)</f>
        <v>1</v>
      </c>
      <c r="I7" s="11">
        <f>SUM('1月:12月'!I7:I7)</f>
        <v>0</v>
      </c>
      <c r="J7" s="11">
        <f>SUM('1月:12月'!J7:J7)</f>
        <v>70</v>
      </c>
      <c r="K7" s="11">
        <f>SUM('1月:12月'!K7:K7)</f>
        <v>0</v>
      </c>
      <c r="L7" s="11">
        <f>SUM('1月:12月'!L7:L7)</f>
        <v>6</v>
      </c>
      <c r="M7" s="11">
        <f>SUM('1月:12月'!M7:M7)</f>
        <v>0</v>
      </c>
      <c r="N7" s="11">
        <f>SUM('1月:12月'!N7:N7)</f>
        <v>0</v>
      </c>
      <c r="O7" s="11">
        <f>SUM('1月:12月'!O7:O7)</f>
        <v>0</v>
      </c>
      <c r="P7" s="11">
        <f>SUM('1月:12月'!P7:P7)</f>
        <v>0</v>
      </c>
      <c r="Q7" s="11">
        <f>SUM('1月:12月'!Q7:Q7)</f>
        <v>0</v>
      </c>
      <c r="R7" s="11">
        <f>SUM('1月:12月'!R7:R7)</f>
        <v>28</v>
      </c>
      <c r="S7" s="11">
        <f>SUM('1月:12月'!S7:S7)</f>
        <v>0</v>
      </c>
      <c r="T7" s="11">
        <f>SUM('1月:12月'!T7:T7)</f>
        <v>0</v>
      </c>
      <c r="U7" s="25">
        <f t="shared" si="0"/>
        <v>9335</v>
      </c>
      <c r="V7" s="25">
        <f t="shared" si="1"/>
        <v>13464</v>
      </c>
      <c r="W7" s="26">
        <f t="shared" si="2"/>
        <v>15506</v>
      </c>
      <c r="X7" s="27">
        <f t="shared" si="3"/>
        <v>1348035.5</v>
      </c>
      <c r="Y7" s="27">
        <f t="shared" si="4"/>
        <v>1756806.5</v>
      </c>
    </row>
    <row r="8" ht="21" customHeight="1" spans="1:25">
      <c r="A8" s="10" t="s">
        <v>31</v>
      </c>
      <c r="B8" s="11">
        <f>SUM('1月:12月'!B8:B8)</f>
        <v>3719</v>
      </c>
      <c r="C8" s="11">
        <f>SUM('1月:12月'!C8:C8)</f>
        <v>1528</v>
      </c>
      <c r="D8" s="11">
        <f>SUM('1月:12月'!D8:D8)</f>
        <v>8831</v>
      </c>
      <c r="E8" s="11">
        <f>SUM('1月:12月'!E8:E8)</f>
        <v>5285</v>
      </c>
      <c r="F8" s="11">
        <f>SUM('1月:12月'!F8:F8)</f>
        <v>2</v>
      </c>
      <c r="G8" s="11">
        <f>SUM('1月:12月'!G8:G8)</f>
        <v>2629</v>
      </c>
      <c r="H8" s="11">
        <f>SUM('1月:12月'!H8:H8)</f>
        <v>0</v>
      </c>
      <c r="I8" s="11">
        <f>SUM('1月:12月'!I8:I8)</f>
        <v>0</v>
      </c>
      <c r="J8" s="11">
        <f>SUM('1月:12月'!J8:J8)</f>
        <v>54</v>
      </c>
      <c r="K8" s="11">
        <f>SUM('1月:12月'!K8:K8)</f>
        <v>21</v>
      </c>
      <c r="L8" s="11">
        <f>SUM('1月:12月'!L8:L8)</f>
        <v>8</v>
      </c>
      <c r="M8" s="11">
        <f>SUM('1月:12月'!M8:M8)</f>
        <v>0</v>
      </c>
      <c r="N8" s="11">
        <f>SUM('1月:12月'!N8:N8)</f>
        <v>0</v>
      </c>
      <c r="O8" s="11">
        <f>SUM('1月:12月'!O8:O8)</f>
        <v>0</v>
      </c>
      <c r="P8" s="11">
        <f>SUM('1月:12月'!P8:P8)</f>
        <v>0</v>
      </c>
      <c r="Q8" s="11">
        <f>SUM('1月:12月'!Q8:Q8)</f>
        <v>0</v>
      </c>
      <c r="R8" s="11">
        <f>SUM('1月:12月'!R8:R8)</f>
        <v>34</v>
      </c>
      <c r="S8" s="11">
        <f>SUM('1月:12月'!S8:S8)</f>
        <v>5</v>
      </c>
      <c r="T8" s="11">
        <f>SUM('1月:12月'!T8:T8)</f>
        <v>0</v>
      </c>
      <c r="U8" s="25">
        <f t="shared" si="0"/>
        <v>9527</v>
      </c>
      <c r="V8" s="25">
        <f t="shared" si="1"/>
        <v>13246</v>
      </c>
      <c r="W8" s="26">
        <f t="shared" si="2"/>
        <v>16012</v>
      </c>
      <c r="X8" s="27">
        <f t="shared" si="3"/>
        <v>1473653.5</v>
      </c>
      <c r="Y8" s="27">
        <f t="shared" si="4"/>
        <v>1841834.5</v>
      </c>
    </row>
    <row r="9" ht="21" customHeight="1" spans="1:25">
      <c r="A9" s="10" t="s">
        <v>32</v>
      </c>
      <c r="B9" s="11">
        <f>SUM('1月:12月'!B9:B9)</f>
        <v>1084</v>
      </c>
      <c r="C9" s="11">
        <f>SUM('1月:12月'!C9:C9)</f>
        <v>2</v>
      </c>
      <c r="D9" s="11">
        <f>SUM('1月:12月'!D9:D9)</f>
        <v>3872</v>
      </c>
      <c r="E9" s="11">
        <f>SUM('1月:12月'!E9:E9)</f>
        <v>3454</v>
      </c>
      <c r="F9" s="11">
        <f>SUM('1月:12月'!F9:F9)</f>
        <v>0</v>
      </c>
      <c r="G9" s="11">
        <f>SUM('1月:12月'!G9:G9)</f>
        <v>535</v>
      </c>
      <c r="H9" s="11">
        <f>SUM('1月:12月'!H9:H9)</f>
        <v>0</v>
      </c>
      <c r="I9" s="11">
        <f>SUM('1月:12月'!I9:I9)</f>
        <v>0</v>
      </c>
      <c r="J9" s="11">
        <f>SUM('1月:12月'!J9:J9)</f>
        <v>90</v>
      </c>
      <c r="K9" s="11">
        <f>SUM('1月:12月'!K9:K9)</f>
        <v>0</v>
      </c>
      <c r="L9" s="11">
        <f>SUM('1月:12月'!L9:L9)</f>
        <v>0</v>
      </c>
      <c r="M9" s="11">
        <f>SUM('1月:12月'!M9:M9)</f>
        <v>0</v>
      </c>
      <c r="N9" s="11">
        <f>SUM('1月:12月'!N9:N9)</f>
        <v>0</v>
      </c>
      <c r="O9" s="11">
        <f>SUM('1月:12月'!O9:O9)</f>
        <v>0</v>
      </c>
      <c r="P9" s="11">
        <f>SUM('1月:12月'!P9:P9)</f>
        <v>0</v>
      </c>
      <c r="Q9" s="11">
        <f>SUM('1月:12月'!Q9:Q9)</f>
        <v>0</v>
      </c>
      <c r="R9" s="11">
        <f>SUM('1月:12月'!R9:R9)</f>
        <v>34</v>
      </c>
      <c r="S9" s="11">
        <f>SUM('1月:12月'!S9:S9)</f>
        <v>0</v>
      </c>
      <c r="T9" s="11">
        <f>SUM('1月:12月'!T9:T9)</f>
        <v>0</v>
      </c>
      <c r="U9" s="25">
        <f t="shared" si="0"/>
        <v>4081</v>
      </c>
      <c r="V9" s="25">
        <f t="shared" si="1"/>
        <v>5165</v>
      </c>
      <c r="W9" s="26">
        <f t="shared" si="2"/>
        <v>5700</v>
      </c>
      <c r="X9" s="27">
        <f t="shared" si="3"/>
        <v>509696</v>
      </c>
      <c r="Y9" s="27">
        <f t="shared" si="4"/>
        <v>617012</v>
      </c>
    </row>
    <row r="10" ht="21" customHeight="1" spans="1:25">
      <c r="A10" s="10" t="s">
        <v>33</v>
      </c>
      <c r="B10" s="11">
        <f>SUM('1月:12月'!B10:B10)</f>
        <v>3306</v>
      </c>
      <c r="C10" s="11">
        <f>SUM('1月:12月'!C10:C10)</f>
        <v>29</v>
      </c>
      <c r="D10" s="11">
        <f>SUM('1月:12月'!D10:D10)</f>
        <v>5444</v>
      </c>
      <c r="E10" s="11">
        <f>SUM('1月:12月'!E10:E10)</f>
        <v>5269</v>
      </c>
      <c r="F10" s="11">
        <f>SUM('1月:12月'!F10:F10)</f>
        <v>0</v>
      </c>
      <c r="G10" s="11">
        <f>SUM('1月:12月'!G10:G10)</f>
        <v>733</v>
      </c>
      <c r="H10" s="11">
        <f>SUM('1月:12月'!H10:H10)</f>
        <v>0</v>
      </c>
      <c r="I10" s="11">
        <f>SUM('1月:12月'!I10:I10)</f>
        <v>0</v>
      </c>
      <c r="J10" s="11">
        <f>SUM('1月:12月'!J10:J10)</f>
        <v>176</v>
      </c>
      <c r="K10" s="11">
        <f>SUM('1月:12月'!K10:K10)</f>
        <v>120</v>
      </c>
      <c r="L10" s="11">
        <f>SUM('1月:12月'!L10:L10)</f>
        <v>174</v>
      </c>
      <c r="M10" s="11">
        <f>SUM('1月:12月'!M10:M10)</f>
        <v>0</v>
      </c>
      <c r="N10" s="11">
        <f>SUM('1月:12月'!N10:N10)</f>
        <v>0</v>
      </c>
      <c r="O10" s="11">
        <f>SUM('1月:12月'!O10:O10)</f>
        <v>0</v>
      </c>
      <c r="P10" s="11">
        <f>SUM('1月:12月'!P10:P10)</f>
        <v>0</v>
      </c>
      <c r="Q10" s="11">
        <f>SUM('1月:12月'!Q10:Q10)</f>
        <v>0</v>
      </c>
      <c r="R10" s="11">
        <f>SUM('1月:12月'!R10:R10)</f>
        <v>24</v>
      </c>
      <c r="S10" s="11">
        <f>SUM('1月:12月'!S10:S10)</f>
        <v>17</v>
      </c>
      <c r="T10" s="11">
        <f>SUM('1月:12月'!T10:T10)</f>
        <v>0</v>
      </c>
      <c r="U10" s="25">
        <f t="shared" si="0"/>
        <v>6501</v>
      </c>
      <c r="V10" s="25">
        <f t="shared" si="1"/>
        <v>9807</v>
      </c>
      <c r="W10" s="26">
        <f t="shared" si="2"/>
        <v>11836</v>
      </c>
      <c r="X10" s="27">
        <f t="shared" si="3"/>
        <v>780175</v>
      </c>
      <c r="Y10" s="27">
        <f t="shared" si="4"/>
        <v>1107469</v>
      </c>
    </row>
    <row r="11" ht="21" customHeight="1" spans="1:25">
      <c r="A11" s="10" t="s">
        <v>34</v>
      </c>
      <c r="B11" s="11">
        <f>SUM('1月:12月'!B11:B11)</f>
        <v>2058</v>
      </c>
      <c r="C11" s="11">
        <f>SUM('1月:12月'!C11:C11)</f>
        <v>399</v>
      </c>
      <c r="D11" s="11">
        <f>SUM('1月:12月'!D11:D11)</f>
        <v>3291</v>
      </c>
      <c r="E11" s="11">
        <f>SUM('1月:12月'!E11:E11)</f>
        <v>2541</v>
      </c>
      <c r="F11" s="11">
        <f>SUM('1月:12月'!F11:F11)</f>
        <v>5</v>
      </c>
      <c r="G11" s="11">
        <f>SUM('1月:12月'!G11:G11)</f>
        <v>721</v>
      </c>
      <c r="H11" s="11">
        <f>SUM('1月:12月'!H11:H11)</f>
        <v>0</v>
      </c>
      <c r="I11" s="11">
        <f>SUM('1月:12月'!I11:I11)</f>
        <v>0</v>
      </c>
      <c r="J11" s="11">
        <f>SUM('1月:12月'!J11:J11)</f>
        <v>25</v>
      </c>
      <c r="K11" s="11">
        <f>SUM('1月:12月'!K11:K11)</f>
        <v>63</v>
      </c>
      <c r="L11" s="11">
        <f>SUM('1月:12月'!L11:L11)</f>
        <v>57</v>
      </c>
      <c r="M11" s="11">
        <f>SUM('1月:12月'!M11:M11)</f>
        <v>0</v>
      </c>
      <c r="N11" s="11">
        <f>SUM('1月:12月'!N11:N11)</f>
        <v>0</v>
      </c>
      <c r="O11" s="11">
        <f>SUM('1月:12月'!O11:O11)</f>
        <v>0</v>
      </c>
      <c r="P11" s="11">
        <f>SUM('1月:12月'!P11:P11)</f>
        <v>0</v>
      </c>
      <c r="Q11" s="11">
        <f>SUM('1月:12月'!Q11:Q11)</f>
        <v>0</v>
      </c>
      <c r="R11" s="11">
        <f>SUM('1月:12月'!R11:R11)</f>
        <v>2</v>
      </c>
      <c r="S11" s="11">
        <f>SUM('1月:12月'!S11:S11)</f>
        <v>14</v>
      </c>
      <c r="T11" s="11">
        <f>SUM('1月:12月'!T11:T11)</f>
        <v>0</v>
      </c>
      <c r="U11" s="25">
        <f t="shared" si="0"/>
        <v>3811</v>
      </c>
      <c r="V11" s="25">
        <f t="shared" si="1"/>
        <v>5869</v>
      </c>
      <c r="W11" s="26">
        <f t="shared" si="2"/>
        <v>7133</v>
      </c>
      <c r="X11" s="27">
        <f t="shared" si="3"/>
        <v>524518.5</v>
      </c>
      <c r="Y11" s="27">
        <f t="shared" si="4"/>
        <v>728260.5</v>
      </c>
    </row>
    <row r="12" ht="21" customHeight="1" spans="1:25">
      <c r="A12" s="10" t="s">
        <v>35</v>
      </c>
      <c r="B12" s="11">
        <f>SUM('1月:12月'!B12:B12)</f>
        <v>2058</v>
      </c>
      <c r="C12" s="11">
        <f>SUM('1月:12月'!C12:C12)</f>
        <v>320</v>
      </c>
      <c r="D12" s="11">
        <f>SUM('1月:12月'!D12:D12)</f>
        <v>3416</v>
      </c>
      <c r="E12" s="11">
        <f>SUM('1月:12月'!E12:E12)</f>
        <v>2749</v>
      </c>
      <c r="F12" s="11">
        <f>SUM('1月:12月'!F12:F12)</f>
        <v>2</v>
      </c>
      <c r="G12" s="11">
        <f>SUM('1月:12月'!G12:G12)</f>
        <v>677</v>
      </c>
      <c r="H12" s="11">
        <f>SUM('1月:12月'!H12:H12)</f>
        <v>36</v>
      </c>
      <c r="I12" s="11">
        <f>SUM('1月:12月'!I12:I12)</f>
        <v>56</v>
      </c>
      <c r="J12" s="11">
        <f>SUM('1月:12月'!J12:J12)</f>
        <v>16</v>
      </c>
      <c r="K12" s="11">
        <f>SUM('1月:12月'!K12:K12)</f>
        <v>62</v>
      </c>
      <c r="L12" s="11">
        <f>SUM('1月:12月'!L12:L12)</f>
        <v>99</v>
      </c>
      <c r="M12" s="11">
        <f>SUM('1月:12月'!M12:M12)</f>
        <v>0</v>
      </c>
      <c r="N12" s="11">
        <f>SUM('1月:12月'!N12:N12)</f>
        <v>0</v>
      </c>
      <c r="O12" s="11">
        <f>SUM('1月:12月'!O12:O12)</f>
        <v>0</v>
      </c>
      <c r="P12" s="11">
        <f>SUM('1月:12月'!P12:P12)</f>
        <v>0</v>
      </c>
      <c r="Q12" s="11">
        <f>SUM('1月:12月'!Q12:Q12)</f>
        <v>0</v>
      </c>
      <c r="R12" s="11">
        <f>SUM('1月:12月'!R12:R12)</f>
        <v>65</v>
      </c>
      <c r="S12" s="11">
        <f>SUM('1月:12月'!S12:S12)</f>
        <v>16</v>
      </c>
      <c r="T12" s="11">
        <f>SUM('1月:12月'!T12:T12)</f>
        <v>0</v>
      </c>
      <c r="U12" s="25">
        <f t="shared" si="0"/>
        <v>4017</v>
      </c>
      <c r="V12" s="25">
        <f t="shared" si="1"/>
        <v>6075</v>
      </c>
      <c r="W12" s="26">
        <f t="shared" si="2"/>
        <v>7642</v>
      </c>
      <c r="X12" s="27">
        <f t="shared" si="3"/>
        <v>551524</v>
      </c>
      <c r="Y12" s="27">
        <f t="shared" si="4"/>
        <v>755266</v>
      </c>
    </row>
    <row r="13" ht="21" customHeight="1" spans="1:25">
      <c r="A13" s="10" t="s">
        <v>36</v>
      </c>
      <c r="B13" s="11">
        <f>SUM('1月:12月'!B13:B13)</f>
        <v>2602</v>
      </c>
      <c r="C13" s="11">
        <f>SUM('1月:12月'!C13:C13)</f>
        <v>1102</v>
      </c>
      <c r="D13" s="11">
        <f>SUM('1月:12月'!D13:D13)</f>
        <v>7287</v>
      </c>
      <c r="E13" s="11">
        <f>SUM('1月:12月'!E13:E13)</f>
        <v>4341</v>
      </c>
      <c r="F13" s="11">
        <f>SUM('1月:12月'!F13:F13)</f>
        <v>8</v>
      </c>
      <c r="G13" s="11">
        <f>SUM('1月:12月'!G13:G13)</f>
        <v>2092</v>
      </c>
      <c r="H13" s="11">
        <f>SUM('1月:12月'!H13:H13)</f>
        <v>115</v>
      </c>
      <c r="I13" s="11">
        <f>SUM('1月:12月'!I13:I13)</f>
        <v>111</v>
      </c>
      <c r="J13" s="11">
        <f>SUM('1月:12月'!J13:J13)</f>
        <v>43</v>
      </c>
      <c r="K13" s="11">
        <f>SUM('1月:12月'!K13:K13)</f>
        <v>34</v>
      </c>
      <c r="L13" s="11">
        <f>SUM('1月:12月'!L13:L13)</f>
        <v>2</v>
      </c>
      <c r="M13" s="11">
        <f>SUM('1月:12月'!M13:M13)</f>
        <v>0</v>
      </c>
      <c r="N13" s="11">
        <f>SUM('1月:12月'!N13:N13)</f>
        <v>33</v>
      </c>
      <c r="O13" s="11">
        <f>SUM('1月:12月'!O13:O13)</f>
        <v>2</v>
      </c>
      <c r="P13" s="11">
        <f>SUM('1月:12月'!P13:P13)</f>
        <v>0</v>
      </c>
      <c r="Q13" s="11">
        <f>SUM('1月:12月'!Q13:Q13)</f>
        <v>0</v>
      </c>
      <c r="R13" s="11">
        <f>SUM('1月:12月'!R13:R13)</f>
        <v>76</v>
      </c>
      <c r="S13" s="11">
        <f>SUM('1月:12月'!S13:S13)</f>
        <v>5</v>
      </c>
      <c r="T13" s="11">
        <f>SUM('1月:12月'!T13:T13)</f>
        <v>0</v>
      </c>
      <c r="U13" s="25">
        <f t="shared" si="0"/>
        <v>7883</v>
      </c>
      <c r="V13" s="25">
        <f t="shared" si="1"/>
        <v>10485</v>
      </c>
      <c r="W13" s="26">
        <f t="shared" si="2"/>
        <v>13347</v>
      </c>
      <c r="X13" s="27">
        <f t="shared" si="3"/>
        <v>1247349.5</v>
      </c>
      <c r="Y13" s="27">
        <f t="shared" si="4"/>
        <v>1504947.5</v>
      </c>
    </row>
    <row r="14" ht="21" customHeight="1" spans="1:25">
      <c r="A14" s="10" t="s">
        <v>37</v>
      </c>
      <c r="B14" s="11">
        <f>SUM('1月:12月'!B14:B14)</f>
        <v>1892</v>
      </c>
      <c r="C14" s="11">
        <f>SUM('1月:12月'!C14:C14)</f>
        <v>21</v>
      </c>
      <c r="D14" s="11">
        <f>SUM('1月:12月'!D14:D14)</f>
        <v>2588</v>
      </c>
      <c r="E14" s="11">
        <f>SUM('1月:12月'!E14:E14)</f>
        <v>2380</v>
      </c>
      <c r="F14" s="11">
        <f>SUM('1月:12月'!F14:F14)</f>
        <v>3</v>
      </c>
      <c r="G14" s="11">
        <f>SUM('1月:12月'!G14:G14)</f>
        <v>281</v>
      </c>
      <c r="H14" s="11">
        <f>SUM('1月:12月'!H14:H14)</f>
        <v>2</v>
      </c>
      <c r="I14" s="11">
        <f>SUM('1月:12月'!I14:I14)</f>
        <v>0</v>
      </c>
      <c r="J14" s="11">
        <f>SUM('1月:12月'!J14:J14)</f>
        <v>72</v>
      </c>
      <c r="K14" s="11">
        <f>SUM('1月:12月'!K14:K14)</f>
        <v>23</v>
      </c>
      <c r="L14" s="11">
        <f>SUM('1月:12月'!L14:L14)</f>
        <v>79</v>
      </c>
      <c r="M14" s="11">
        <f>SUM('1月:12月'!M14:M14)</f>
        <v>2</v>
      </c>
      <c r="N14" s="11">
        <f>SUM('1月:12月'!N14:N14)</f>
        <v>0</v>
      </c>
      <c r="O14" s="11">
        <f>SUM('1月:12月'!O14:O14)</f>
        <v>216</v>
      </c>
      <c r="P14" s="11">
        <f>SUM('1月:12月'!P14:P14)</f>
        <v>0</v>
      </c>
      <c r="Q14" s="11">
        <f>SUM('1月:12月'!Q14:Q14)</f>
        <v>540</v>
      </c>
      <c r="R14" s="11">
        <f>SUM('1月:12月'!R14:R14)</f>
        <v>165</v>
      </c>
      <c r="S14" s="11">
        <f>SUM('1月:12月'!S14:S14)</f>
        <v>5</v>
      </c>
      <c r="T14" s="11">
        <f>SUM('1月:12月'!T14:T14)</f>
        <v>0</v>
      </c>
      <c r="U14" s="25">
        <f t="shared" si="0"/>
        <v>3079</v>
      </c>
      <c r="V14" s="25">
        <f t="shared" si="1"/>
        <v>4971</v>
      </c>
      <c r="W14" s="26">
        <f t="shared" si="2"/>
        <v>7091</v>
      </c>
      <c r="X14" s="27">
        <f t="shared" si="3"/>
        <v>368141</v>
      </c>
      <c r="Y14" s="27">
        <f t="shared" si="4"/>
        <v>555449</v>
      </c>
    </row>
    <row r="15" ht="21" customHeight="1" spans="1:25">
      <c r="A15" s="10" t="s">
        <v>38</v>
      </c>
      <c r="B15" s="11">
        <f>SUM('1月:12月'!B15:B15)</f>
        <v>3041</v>
      </c>
      <c r="C15" s="11">
        <f>SUM('1月:12月'!C15:C15)</f>
        <v>100</v>
      </c>
      <c r="D15" s="11">
        <f>SUM('1月:12月'!D15:D15)</f>
        <v>5595</v>
      </c>
      <c r="E15" s="11">
        <f>SUM('1月:12月'!E15:E15)</f>
        <v>5171</v>
      </c>
      <c r="F15" s="11">
        <f>SUM('1月:12月'!F15:F15)</f>
        <v>4</v>
      </c>
      <c r="G15" s="11">
        <f>SUM('1月:12月'!G15:G15)</f>
        <v>721</v>
      </c>
      <c r="H15" s="11">
        <f>SUM('1月:12月'!H15:H15)</f>
        <v>2</v>
      </c>
      <c r="I15" s="11">
        <f>SUM('1月:12月'!I15:I15)</f>
        <v>0</v>
      </c>
      <c r="J15" s="11">
        <f>SUM('1月:12月'!J15:J15)</f>
        <v>84</v>
      </c>
      <c r="K15" s="11">
        <f>SUM('1月:12月'!K15:K15)</f>
        <v>96</v>
      </c>
      <c r="L15" s="11">
        <f>SUM('1月:12月'!L15:L15)</f>
        <v>88</v>
      </c>
      <c r="M15" s="11">
        <f>SUM('1月:12月'!M15:M15)</f>
        <v>1</v>
      </c>
      <c r="N15" s="11">
        <f>SUM('1月:12月'!N15:N15)</f>
        <v>0</v>
      </c>
      <c r="O15" s="11">
        <f>SUM('1月:12月'!O15:O15)</f>
        <v>47</v>
      </c>
      <c r="P15" s="11">
        <f>SUM('1月:12月'!P15:P15)</f>
        <v>0</v>
      </c>
      <c r="Q15" s="11">
        <f>SUM('1月:12月'!Q15:Q15)</f>
        <v>675</v>
      </c>
      <c r="R15" s="11">
        <f>SUM('1月:12月'!R15:R15)</f>
        <v>222</v>
      </c>
      <c r="S15" s="11">
        <f>SUM('1月:12月'!S15:S15)</f>
        <v>17</v>
      </c>
      <c r="T15" s="11">
        <f>SUM('1月:12月'!T15:T15)</f>
        <v>0</v>
      </c>
      <c r="U15" s="25">
        <f t="shared" si="0"/>
        <v>6314</v>
      </c>
      <c r="V15" s="25">
        <f t="shared" si="1"/>
        <v>9355</v>
      </c>
      <c r="W15" s="26">
        <f t="shared" si="2"/>
        <v>11775</v>
      </c>
      <c r="X15" s="27">
        <f t="shared" si="3"/>
        <v>774030</v>
      </c>
      <c r="Y15" s="27">
        <f t="shared" si="4"/>
        <v>1075089</v>
      </c>
    </row>
    <row r="16" ht="21" customHeight="1" spans="1:25">
      <c r="A16" s="10" t="s">
        <v>39</v>
      </c>
      <c r="B16" s="11">
        <f>SUM('1月:12月'!B16:B16)</f>
        <v>4310</v>
      </c>
      <c r="C16" s="11">
        <f>SUM('1月:12月'!C16:C16)</f>
        <v>854</v>
      </c>
      <c r="D16" s="11">
        <f>SUM('1月:12月'!D16:D16)</f>
        <v>6978</v>
      </c>
      <c r="E16" s="11">
        <f>SUM('1月:12月'!E16:E16)</f>
        <v>5137</v>
      </c>
      <c r="F16" s="11">
        <f>SUM('1月:12月'!F16:F16)</f>
        <v>5</v>
      </c>
      <c r="G16" s="11">
        <f>SUM('1月:12月'!G16:G16)</f>
        <v>1751</v>
      </c>
      <c r="H16" s="11">
        <f>SUM('1月:12月'!H16:H16)</f>
        <v>9</v>
      </c>
      <c r="I16" s="11">
        <f>SUM('1月:12月'!I16:I16)</f>
        <v>0</v>
      </c>
      <c r="J16" s="11">
        <f>SUM('1月:12月'!J16:J16)</f>
        <v>65</v>
      </c>
      <c r="K16" s="11">
        <f>SUM('1月:12月'!K16:K16)</f>
        <v>83</v>
      </c>
      <c r="L16" s="11">
        <f>SUM('1月:12月'!L16:L16)</f>
        <v>87</v>
      </c>
      <c r="M16" s="11">
        <f>SUM('1月:12月'!M16:M16)</f>
        <v>0</v>
      </c>
      <c r="N16" s="11">
        <f>SUM('1月:12月'!N16:N16)</f>
        <v>0</v>
      </c>
      <c r="O16" s="11">
        <f>SUM('1月:12月'!O16:O16)</f>
        <v>0</v>
      </c>
      <c r="P16" s="11">
        <f>SUM('1月:12月'!P16:P16)</f>
        <v>0</v>
      </c>
      <c r="Q16" s="11">
        <f>SUM('1月:12月'!Q16:Q16)</f>
        <v>0</v>
      </c>
      <c r="R16" s="11">
        <f>SUM('1月:12月'!R16:R16)</f>
        <v>30</v>
      </c>
      <c r="S16" s="11">
        <f>SUM('1月:12月'!S16:S16)</f>
        <v>16</v>
      </c>
      <c r="T16" s="11">
        <f>SUM('1月:12月'!T16:T16)</f>
        <v>0</v>
      </c>
      <c r="U16" s="25">
        <f t="shared" si="0"/>
        <v>7991</v>
      </c>
      <c r="V16" s="25">
        <f t="shared" si="1"/>
        <v>12301</v>
      </c>
      <c r="W16" s="26">
        <f t="shared" si="2"/>
        <v>14833</v>
      </c>
      <c r="X16" s="27">
        <f t="shared" si="3"/>
        <v>1142401</v>
      </c>
      <c r="Y16" s="27">
        <f t="shared" si="4"/>
        <v>1569091</v>
      </c>
    </row>
    <row r="17" ht="21" customHeight="1" spans="1:25">
      <c r="A17" s="10" t="s">
        <v>40</v>
      </c>
      <c r="B17" s="11">
        <f>SUM('1月:12月'!B17:B17)</f>
        <v>2663</v>
      </c>
      <c r="C17" s="11">
        <f>SUM('1月:12月'!C17:C17)</f>
        <v>89</v>
      </c>
      <c r="D17" s="11">
        <f>SUM('1月:12月'!D17:D17)</f>
        <v>5202</v>
      </c>
      <c r="E17" s="11">
        <f>SUM('1月:12月'!E17:E17)</f>
        <v>4842</v>
      </c>
      <c r="F17" s="11">
        <f>SUM('1月:12月'!F17:F17)</f>
        <v>3</v>
      </c>
      <c r="G17" s="11">
        <f>SUM('1月:12月'!G17:G17)</f>
        <v>735</v>
      </c>
      <c r="H17" s="11">
        <f>SUM('1月:12月'!H17:H17)</f>
        <v>1</v>
      </c>
      <c r="I17" s="11">
        <f>SUM('1月:12月'!I17:I17)</f>
        <v>0</v>
      </c>
      <c r="J17" s="11">
        <f>SUM('1月:12月'!J17:J17)</f>
        <v>158</v>
      </c>
      <c r="K17" s="11">
        <f>SUM('1月:12月'!K17:K17)</f>
        <v>68</v>
      </c>
      <c r="L17" s="11">
        <f>SUM('1月:12月'!L17:L17)</f>
        <v>97</v>
      </c>
      <c r="M17" s="11">
        <f>SUM('1月:12月'!M17:M17)</f>
        <v>0</v>
      </c>
      <c r="N17" s="11">
        <f>SUM('1月:12月'!N17:N17)</f>
        <v>0</v>
      </c>
      <c r="O17" s="11">
        <f>SUM('1月:12月'!O17:O17)</f>
        <v>1</v>
      </c>
      <c r="P17" s="11">
        <f>SUM('1月:12月'!P17:P17)</f>
        <v>0</v>
      </c>
      <c r="Q17" s="11">
        <f>SUM('1月:12月'!Q17:Q17)</f>
        <v>0</v>
      </c>
      <c r="R17" s="11">
        <f>SUM('1月:12月'!R17:R17)</f>
        <v>29</v>
      </c>
      <c r="S17" s="11">
        <f>SUM('1月:12月'!S17:S17)</f>
        <v>16</v>
      </c>
      <c r="T17" s="11">
        <f>SUM('1月:12月'!T17:T17)</f>
        <v>0</v>
      </c>
      <c r="U17" s="25">
        <f t="shared" si="0"/>
        <v>5994</v>
      </c>
      <c r="V17" s="25">
        <f t="shared" si="1"/>
        <v>8657</v>
      </c>
      <c r="W17" s="26">
        <f t="shared" si="2"/>
        <v>10126</v>
      </c>
      <c r="X17" s="27">
        <f t="shared" si="3"/>
        <v>735242</v>
      </c>
      <c r="Y17" s="27">
        <f t="shared" si="4"/>
        <v>998879</v>
      </c>
    </row>
    <row r="18" ht="21" customHeight="1" spans="1:25">
      <c r="A18" s="10" t="s">
        <v>41</v>
      </c>
      <c r="B18" s="11">
        <f>SUM('1月:12月'!B18:B18)</f>
        <v>2991</v>
      </c>
      <c r="C18" s="11">
        <f>SUM('1月:12月'!C18:C18)</f>
        <v>432</v>
      </c>
      <c r="D18" s="11">
        <f>SUM('1月:12月'!D18:D18)</f>
        <v>3597</v>
      </c>
      <c r="E18" s="11">
        <f>SUM('1月:12月'!E18:E18)</f>
        <v>2711</v>
      </c>
      <c r="F18" s="11">
        <f>SUM('1月:12月'!F18:F18)</f>
        <v>4</v>
      </c>
      <c r="G18" s="11">
        <f>SUM('1月:12月'!G18:G18)</f>
        <v>750</v>
      </c>
      <c r="H18" s="11">
        <f>SUM('1月:12月'!H18:H18)</f>
        <v>2</v>
      </c>
      <c r="I18" s="11">
        <f>SUM('1月:12月'!I18:I18)</f>
        <v>0</v>
      </c>
      <c r="J18" s="11">
        <f>SUM('1月:12月'!J18:J18)</f>
        <v>13</v>
      </c>
      <c r="K18" s="11">
        <f>SUM('1月:12月'!K18:K18)</f>
        <v>45</v>
      </c>
      <c r="L18" s="11">
        <f>SUM('1月:12月'!L18:L18)</f>
        <v>133</v>
      </c>
      <c r="M18" s="11">
        <f>SUM('1月:12月'!M18:M18)</f>
        <v>0</v>
      </c>
      <c r="N18" s="11">
        <f>SUM('1月:12月'!N18:N18)</f>
        <v>0</v>
      </c>
      <c r="O18" s="11">
        <f>SUM('1月:12月'!O18:O18)</f>
        <v>0</v>
      </c>
      <c r="P18" s="11">
        <f>SUM('1月:12月'!P18:P18)</f>
        <v>0</v>
      </c>
      <c r="Q18" s="11">
        <f>SUM('1月:12月'!Q18:Q18)</f>
        <v>0</v>
      </c>
      <c r="R18" s="11">
        <f>SUM('1月:12月'!R18:R18)</f>
        <v>19</v>
      </c>
      <c r="S18" s="11">
        <f>SUM('1月:12月'!S18:S18)</f>
        <v>18</v>
      </c>
      <c r="T18" s="11">
        <f>SUM('1月:12月'!T18:T18)</f>
        <v>0</v>
      </c>
      <c r="U18" s="25">
        <f t="shared" si="0"/>
        <v>4090</v>
      </c>
      <c r="V18" s="25">
        <f t="shared" si="1"/>
        <v>7081</v>
      </c>
      <c r="W18" s="26">
        <f t="shared" si="2"/>
        <v>8592</v>
      </c>
      <c r="X18" s="27">
        <f t="shared" si="3"/>
        <v>555080.5</v>
      </c>
      <c r="Y18" s="27">
        <f t="shared" si="4"/>
        <v>851189.5</v>
      </c>
    </row>
    <row r="19" ht="21" customHeight="1" spans="1:25">
      <c r="A19" s="10" t="s">
        <v>42</v>
      </c>
      <c r="B19" s="11">
        <f>SUM('1月:12月'!B19:B19)</f>
        <v>3475</v>
      </c>
      <c r="C19" s="11">
        <f>SUM('1月:12月'!C19:C19)</f>
        <v>78</v>
      </c>
      <c r="D19" s="11">
        <f>SUM('1月:12月'!D19:D19)</f>
        <v>5380</v>
      </c>
      <c r="E19" s="11">
        <f>SUM('1月:12月'!E19:E19)</f>
        <v>5201</v>
      </c>
      <c r="F19" s="11">
        <f>SUM('1月:12月'!F19:F19)</f>
        <v>6</v>
      </c>
      <c r="G19" s="11">
        <f>SUM('1月:12月'!G19:G19)</f>
        <v>533</v>
      </c>
      <c r="H19" s="11">
        <f>SUM('1月:12月'!H19:H19)</f>
        <v>0</v>
      </c>
      <c r="I19" s="11">
        <f>SUM('1月:12月'!I19:I19)</f>
        <v>0</v>
      </c>
      <c r="J19" s="11">
        <f>SUM('1月:12月'!J19:J19)</f>
        <v>123</v>
      </c>
      <c r="K19" s="11">
        <f>SUM('1月:12月'!K19:K19)</f>
        <v>91</v>
      </c>
      <c r="L19" s="11">
        <f>SUM('1月:12月'!L19:L19)</f>
        <v>80</v>
      </c>
      <c r="M19" s="11">
        <f>SUM('1月:12月'!M19:M19)</f>
        <v>1</v>
      </c>
      <c r="N19" s="11">
        <f>SUM('1月:12月'!N19:N19)</f>
        <v>0</v>
      </c>
      <c r="O19" s="11">
        <f>SUM('1月:12月'!O19:O19)</f>
        <v>0</v>
      </c>
      <c r="P19" s="11">
        <f>SUM('1月:12月'!P19:P19)</f>
        <v>0</v>
      </c>
      <c r="Q19" s="11">
        <f>SUM('1月:12月'!Q19:Q19)</f>
        <v>0</v>
      </c>
      <c r="R19" s="11">
        <f>SUM('1月:12月'!R19:R19)</f>
        <v>18</v>
      </c>
      <c r="S19" s="11">
        <f>SUM('1月:12月'!S19:S19)</f>
        <v>14</v>
      </c>
      <c r="T19" s="11">
        <f>SUM('1月:12月'!T19:T19)</f>
        <v>0</v>
      </c>
      <c r="U19" s="25">
        <f t="shared" si="0"/>
        <v>6113</v>
      </c>
      <c r="V19" s="25">
        <f t="shared" si="1"/>
        <v>9588</v>
      </c>
      <c r="W19" s="26">
        <f t="shared" si="2"/>
        <v>10896</v>
      </c>
      <c r="X19" s="27">
        <f t="shared" si="3"/>
        <v>717271.5</v>
      </c>
      <c r="Y19" s="27">
        <f t="shared" si="4"/>
        <v>1061296.5</v>
      </c>
    </row>
    <row r="20" ht="21" customHeight="1" spans="1:25">
      <c r="A20" s="10" t="s">
        <v>43</v>
      </c>
      <c r="B20" s="11">
        <f>SUM('1月:12月'!B20:B20)</f>
        <v>2509</v>
      </c>
      <c r="C20" s="11">
        <f>SUM('1月:12月'!C20:C20)</f>
        <v>59</v>
      </c>
      <c r="D20" s="11">
        <f>SUM('1月:12月'!D20:D20)</f>
        <v>5666</v>
      </c>
      <c r="E20" s="11">
        <f>SUM('1月:12月'!E20:E20)</f>
        <v>5378</v>
      </c>
      <c r="F20" s="11">
        <f>SUM('1月:12月'!F20:F20)</f>
        <v>4</v>
      </c>
      <c r="G20" s="11">
        <f>SUM('1月:12月'!G20:G20)</f>
        <v>664</v>
      </c>
      <c r="H20" s="11">
        <f>SUM('1月:12月'!H20:H20)</f>
        <v>0</v>
      </c>
      <c r="I20" s="11">
        <f>SUM('1月:12月'!I20:I20)</f>
        <v>0</v>
      </c>
      <c r="J20" s="11">
        <f>SUM('1月:12月'!J20:J20)</f>
        <v>153</v>
      </c>
      <c r="K20" s="11">
        <f>SUM('1月:12月'!K20:K20)</f>
        <v>100</v>
      </c>
      <c r="L20" s="11">
        <f>SUM('1月:12月'!L20:L20)</f>
        <v>157</v>
      </c>
      <c r="M20" s="11">
        <f>SUM('1月:12月'!M20:M20)</f>
        <v>2</v>
      </c>
      <c r="N20" s="11">
        <f>SUM('1月:12月'!N20:N20)</f>
        <v>0</v>
      </c>
      <c r="O20" s="11">
        <f>SUM('1月:12月'!O20:O20)</f>
        <v>1</v>
      </c>
      <c r="P20" s="11">
        <f>SUM('1月:12月'!P20:P20)</f>
        <v>0</v>
      </c>
      <c r="Q20" s="11">
        <f>SUM('1月:12月'!Q20:Q20)</f>
        <v>0</v>
      </c>
      <c r="R20" s="11">
        <f>SUM('1月:12月'!R20:R20)</f>
        <v>32</v>
      </c>
      <c r="S20" s="11">
        <f>SUM('1月:12月'!S20:S20)</f>
        <v>14</v>
      </c>
      <c r="T20" s="11">
        <f>SUM('1月:12月'!T20:T20)</f>
        <v>0</v>
      </c>
      <c r="U20" s="25">
        <f t="shared" si="0"/>
        <v>6518</v>
      </c>
      <c r="V20" s="25">
        <f t="shared" si="1"/>
        <v>9027</v>
      </c>
      <c r="W20" s="26">
        <f t="shared" si="2"/>
        <v>10823</v>
      </c>
      <c r="X20" s="27">
        <f t="shared" si="3"/>
        <v>773883</v>
      </c>
      <c r="Y20" s="27">
        <f t="shared" si="4"/>
        <v>1022274</v>
      </c>
    </row>
    <row r="21" ht="21" customHeight="1" spans="1:25">
      <c r="A21" s="10" t="s">
        <v>44</v>
      </c>
      <c r="B21" s="11">
        <f>SUM('1月:12月'!B21:B21)</f>
        <v>4310</v>
      </c>
      <c r="C21" s="11">
        <f>SUM('1月:12月'!C21:C21)</f>
        <v>97</v>
      </c>
      <c r="D21" s="11">
        <f>SUM('1月:12月'!D21:D21)</f>
        <v>6586</v>
      </c>
      <c r="E21" s="11">
        <f>SUM('1月:12月'!E21:E21)</f>
        <v>6766</v>
      </c>
      <c r="F21" s="11">
        <f>SUM('1月:12月'!F21:F21)</f>
        <v>3</v>
      </c>
      <c r="G21" s="11">
        <f>SUM('1月:12月'!G21:G21)</f>
        <v>778</v>
      </c>
      <c r="H21" s="11">
        <f>SUM('1月:12月'!H21:H21)</f>
        <v>0</v>
      </c>
      <c r="I21" s="11">
        <f>SUM('1月:12月'!I21:I21)</f>
        <v>0</v>
      </c>
      <c r="J21" s="11">
        <f>SUM('1月:12月'!J21:J21)</f>
        <v>197</v>
      </c>
      <c r="K21" s="11">
        <f>SUM('1月:12月'!K21:K21)</f>
        <v>106</v>
      </c>
      <c r="L21" s="11">
        <f>SUM('1月:12月'!L21:L21)</f>
        <v>137</v>
      </c>
      <c r="M21" s="11">
        <f>SUM('1月:12月'!M21:M21)</f>
        <v>1</v>
      </c>
      <c r="N21" s="11">
        <f>SUM('1月:12月'!N21:N21)</f>
        <v>0</v>
      </c>
      <c r="O21" s="11">
        <f>SUM('1月:12月'!O21:O21)</f>
        <v>0</v>
      </c>
      <c r="P21" s="11">
        <f>SUM('1月:12月'!P21:P21)</f>
        <v>0</v>
      </c>
      <c r="Q21" s="11">
        <f>SUM('1月:12月'!Q21:Q21)</f>
        <v>0</v>
      </c>
      <c r="R21" s="11">
        <f>SUM('1月:12月'!R21:R21)</f>
        <v>30</v>
      </c>
      <c r="S21" s="11">
        <f>SUM('1月:12月'!S21:S21)</f>
        <v>18</v>
      </c>
      <c r="T21" s="11">
        <f>SUM('1月:12月'!T21:T21)</f>
        <v>0</v>
      </c>
      <c r="U21" s="25">
        <f t="shared" si="0"/>
        <v>8085</v>
      </c>
      <c r="V21" s="25">
        <f t="shared" si="1"/>
        <v>12395</v>
      </c>
      <c r="W21" s="26">
        <f t="shared" si="2"/>
        <v>14251</v>
      </c>
      <c r="X21" s="27">
        <f t="shared" si="3"/>
        <v>953793.5</v>
      </c>
      <c r="Y21" s="27">
        <f t="shared" si="4"/>
        <v>1380483.5</v>
      </c>
    </row>
    <row r="22" ht="21" customHeight="1" spans="1:25">
      <c r="A22" s="10" t="s">
        <v>45</v>
      </c>
      <c r="B22" s="11">
        <f>SUM('1月:12月'!B22:B22)</f>
        <v>1766</v>
      </c>
      <c r="C22" s="11">
        <f>SUM('1月:12月'!C22:C22)</f>
        <v>1147</v>
      </c>
      <c r="D22" s="11">
        <f>SUM('1月:12月'!D22:D22)</f>
        <v>6643</v>
      </c>
      <c r="E22" s="11">
        <f>SUM('1月:12月'!E22:E22)</f>
        <v>4056</v>
      </c>
      <c r="F22" s="11">
        <f>SUM('1月:12月'!F22:F22)</f>
        <v>3</v>
      </c>
      <c r="G22" s="11">
        <f>SUM('1月:12月'!G22:G22)</f>
        <v>1619</v>
      </c>
      <c r="H22" s="11">
        <f>SUM('1月:12月'!H22:H22)</f>
        <v>0</v>
      </c>
      <c r="I22" s="11">
        <f>SUM('1月:12月'!I22:I22)</f>
        <v>0</v>
      </c>
      <c r="J22" s="11">
        <f>SUM('1月:12月'!J22:J22)</f>
        <v>47</v>
      </c>
      <c r="K22" s="11">
        <f>SUM('1月:12月'!K22:K22)</f>
        <v>0</v>
      </c>
      <c r="L22" s="11">
        <f>SUM('1月:12月'!L22:L22)</f>
        <v>0</v>
      </c>
      <c r="M22" s="11">
        <f>SUM('1月:12月'!M22:M22)</f>
        <v>4</v>
      </c>
      <c r="N22" s="11">
        <f>SUM('1月:12月'!N22:N22)</f>
        <v>0</v>
      </c>
      <c r="O22" s="11">
        <f>SUM('1月:12月'!O22:O22)</f>
        <v>0</v>
      </c>
      <c r="P22" s="11">
        <f>SUM('1月:12月'!P22:P22)</f>
        <v>0</v>
      </c>
      <c r="Q22" s="11">
        <f>SUM('1月:12月'!Q22:Q22)</f>
        <v>0</v>
      </c>
      <c r="R22" s="11">
        <f>SUM('1月:12月'!R22:R22)</f>
        <v>34</v>
      </c>
      <c r="S22" s="11">
        <f>SUM('1月:12月'!S22:S22)</f>
        <v>1</v>
      </c>
      <c r="T22" s="11">
        <f>SUM('1月:12月'!T22:T22)</f>
        <v>0</v>
      </c>
      <c r="U22" s="25">
        <f t="shared" si="0"/>
        <v>6876</v>
      </c>
      <c r="V22" s="25">
        <f t="shared" si="1"/>
        <v>8642</v>
      </c>
      <c r="W22" s="26">
        <f t="shared" si="2"/>
        <v>10261</v>
      </c>
      <c r="X22" s="27">
        <f t="shared" si="3"/>
        <v>1019760.5</v>
      </c>
      <c r="Y22" s="27">
        <f t="shared" si="4"/>
        <v>1194594.5</v>
      </c>
    </row>
    <row r="23" ht="21" customHeight="1" spans="1:25">
      <c r="A23" s="10" t="s">
        <v>46</v>
      </c>
      <c r="B23" s="11">
        <f>SUM('1月:12月'!B23:B23)</f>
        <v>3635</v>
      </c>
      <c r="C23" s="11">
        <f>SUM('1月:12月'!C23:C23)</f>
        <v>64</v>
      </c>
      <c r="D23" s="11">
        <f>SUM('1月:12月'!D23:D23)</f>
        <v>6016</v>
      </c>
      <c r="E23" s="11">
        <f>SUM('1月:12月'!E23:E23)</f>
        <v>5876</v>
      </c>
      <c r="F23" s="11">
        <f>SUM('1月:12月'!F23:F23)</f>
        <v>6</v>
      </c>
      <c r="G23" s="11">
        <f>SUM('1月:12月'!G23:G23)</f>
        <v>552</v>
      </c>
      <c r="H23" s="11">
        <f>SUM('1月:12月'!H23:H23)</f>
        <v>0</v>
      </c>
      <c r="I23" s="11">
        <f>SUM('1月:12月'!I23:I23)</f>
        <v>0</v>
      </c>
      <c r="J23" s="11">
        <f>SUM('1月:12月'!J23:J23)</f>
        <v>155</v>
      </c>
      <c r="K23" s="11">
        <f>SUM('1月:12月'!K23:K23)</f>
        <v>84</v>
      </c>
      <c r="L23" s="11">
        <f>SUM('1月:12月'!L23:L23)</f>
        <v>135</v>
      </c>
      <c r="M23" s="11">
        <f>SUM('1月:12月'!M23:M23)</f>
        <v>1</v>
      </c>
      <c r="N23" s="11">
        <f>SUM('1月:12月'!N23:N23)</f>
        <v>0</v>
      </c>
      <c r="O23" s="11">
        <f>SUM('1月:12月'!O23:O23)</f>
        <v>0</v>
      </c>
      <c r="P23" s="11">
        <f>SUM('1月:12月'!P23:P23)</f>
        <v>0</v>
      </c>
      <c r="Q23" s="11">
        <f>SUM('1月:12月'!Q23:Q23)</f>
        <v>0</v>
      </c>
      <c r="R23" s="11">
        <f>SUM('1月:12月'!R23:R23)</f>
        <v>24</v>
      </c>
      <c r="S23" s="11">
        <f>SUM('1月:12月'!S23:S23)</f>
        <v>16</v>
      </c>
      <c r="T23" s="11">
        <f>SUM('1月:12月'!T23:T23)</f>
        <v>0</v>
      </c>
      <c r="U23" s="25">
        <f t="shared" si="0"/>
        <v>6873</v>
      </c>
      <c r="V23" s="25">
        <f t="shared" si="1"/>
        <v>10508</v>
      </c>
      <c r="W23" s="26">
        <f t="shared" si="2"/>
        <v>12020</v>
      </c>
      <c r="X23" s="27">
        <f t="shared" si="3"/>
        <v>793413.5</v>
      </c>
      <c r="Y23" s="27">
        <f t="shared" si="4"/>
        <v>1153278.5</v>
      </c>
    </row>
    <row r="24" ht="21" customHeight="1" spans="1:25">
      <c r="A24" s="10" t="s">
        <v>47</v>
      </c>
      <c r="B24" s="11">
        <f>SUM('1月:12月'!B24:B24)</f>
        <v>2309</v>
      </c>
      <c r="C24" s="11">
        <f>SUM('1月:12月'!C24:C24)</f>
        <v>56</v>
      </c>
      <c r="D24" s="11">
        <f>SUM('1月:12月'!D24:D24)</f>
        <v>5609</v>
      </c>
      <c r="E24" s="11">
        <f>SUM('1月:12月'!E24:E24)</f>
        <v>5349</v>
      </c>
      <c r="F24" s="11">
        <f>SUM('1月:12月'!F24:F24)</f>
        <v>0</v>
      </c>
      <c r="G24" s="11">
        <f>SUM('1月:12月'!G24:G24)</f>
        <v>663</v>
      </c>
      <c r="H24" s="11">
        <f>SUM('1月:12月'!H24:H24)</f>
        <v>0</v>
      </c>
      <c r="I24" s="11">
        <f>SUM('1月:12月'!I24:I24)</f>
        <v>0</v>
      </c>
      <c r="J24" s="11">
        <f>SUM('1月:12月'!J24:J24)</f>
        <v>142</v>
      </c>
      <c r="K24" s="11">
        <f>SUM('1月:12月'!K24:K24)</f>
        <v>90</v>
      </c>
      <c r="L24" s="11">
        <f>SUM('1月:12月'!L24:L24)</f>
        <v>124</v>
      </c>
      <c r="M24" s="11">
        <f>SUM('1月:12月'!M24:M24)</f>
        <v>4</v>
      </c>
      <c r="N24" s="11">
        <f>SUM('1月:12月'!N24:N24)</f>
        <v>0</v>
      </c>
      <c r="O24" s="11">
        <f>SUM('1月:12月'!O24:O24)</f>
        <v>0</v>
      </c>
      <c r="P24" s="11">
        <f>SUM('1月:12月'!P24:P24)</f>
        <v>0</v>
      </c>
      <c r="Q24" s="11">
        <f>SUM('1月:12月'!Q24:Q24)</f>
        <v>0</v>
      </c>
      <c r="R24" s="11">
        <f>SUM('1月:12月'!R24:R24)</f>
        <v>30</v>
      </c>
      <c r="S24" s="11">
        <f>SUM('1月:12月'!S24:S24)</f>
        <v>15</v>
      </c>
      <c r="T24" s="11">
        <f>SUM('1月:12月'!T24:T24)</f>
        <v>0</v>
      </c>
      <c r="U24" s="25">
        <f t="shared" si="0"/>
        <v>6428</v>
      </c>
      <c r="V24" s="25">
        <f t="shared" si="1"/>
        <v>8737</v>
      </c>
      <c r="W24" s="26">
        <f t="shared" si="2"/>
        <v>10346</v>
      </c>
      <c r="X24" s="27">
        <f t="shared" si="3"/>
        <v>766716.5</v>
      </c>
      <c r="Y24" s="27">
        <f t="shared" si="4"/>
        <v>995307.5</v>
      </c>
    </row>
    <row r="25" ht="21" customHeight="1" spans="1:25">
      <c r="A25" s="10" t="s">
        <v>49</v>
      </c>
      <c r="B25" s="11">
        <f>SUM('1月:12月'!B25:B25)</f>
        <v>852</v>
      </c>
      <c r="C25" s="11">
        <f>SUM('1月:12月'!C25:C25)</f>
        <v>196</v>
      </c>
      <c r="D25" s="11">
        <f>SUM('1月:12月'!D25:D25)</f>
        <v>1537</v>
      </c>
      <c r="E25" s="11">
        <f>SUM('1月:12月'!E25:E25)</f>
        <v>1067</v>
      </c>
      <c r="F25" s="11">
        <f>SUM('1月:12月'!F25:F25)</f>
        <v>4</v>
      </c>
      <c r="G25" s="11">
        <f>SUM('1月:12月'!G25:G25)</f>
        <v>331</v>
      </c>
      <c r="H25" s="11">
        <f>SUM('1月:12月'!H25:H25)</f>
        <v>0</v>
      </c>
      <c r="I25" s="11">
        <f>SUM('1月:12月'!I25:I25)</f>
        <v>0</v>
      </c>
      <c r="J25" s="11">
        <f>SUM('1月:12月'!J25:J25)</f>
        <v>9</v>
      </c>
      <c r="K25" s="11">
        <f>SUM('1月:12月'!K25:K25)</f>
        <v>0</v>
      </c>
      <c r="L25" s="11">
        <f>SUM('1月:12月'!L25:L25)</f>
        <v>88</v>
      </c>
      <c r="M25" s="11">
        <f>SUM('1月:12月'!M25:M25)</f>
        <v>0</v>
      </c>
      <c r="N25" s="11">
        <f>SUM('1月:12月'!N25:N25)</f>
        <v>0</v>
      </c>
      <c r="O25" s="11">
        <f>SUM('1月:12月'!O25:O25)</f>
        <v>0</v>
      </c>
      <c r="P25" s="11">
        <f>SUM('1月:12月'!P25:P25)</f>
        <v>0</v>
      </c>
      <c r="Q25" s="11">
        <f>SUM('1月:12月'!Q25:Q25)</f>
        <v>0</v>
      </c>
      <c r="R25" s="11">
        <f>SUM('1月:12月'!R25:R25)</f>
        <v>25</v>
      </c>
      <c r="S25" s="11">
        <f>SUM('1月:12月'!S25:S25)</f>
        <v>4</v>
      </c>
      <c r="T25" s="11">
        <f>SUM('1月:12月'!T25:T25)</f>
        <v>0</v>
      </c>
      <c r="U25" s="25">
        <f t="shared" si="0"/>
        <v>1695</v>
      </c>
      <c r="V25" s="25">
        <f t="shared" si="1"/>
        <v>2547</v>
      </c>
      <c r="W25" s="26">
        <f t="shared" si="2"/>
        <v>3230</v>
      </c>
      <c r="X25" s="27">
        <f t="shared" si="3"/>
        <v>230961.5</v>
      </c>
      <c r="Y25" s="27">
        <f t="shared" si="4"/>
        <v>315309.5</v>
      </c>
    </row>
    <row r="26" ht="21" customHeight="1" spans="1:25">
      <c r="A26" s="10" t="s">
        <v>56</v>
      </c>
      <c r="B26" s="11">
        <f>SUM('1月:12月'!B26:B26)</f>
        <v>16</v>
      </c>
      <c r="C26" s="11">
        <f>SUM('1月:12月'!C26:C26)</f>
        <v>4</v>
      </c>
      <c r="D26" s="11">
        <f>SUM('1月:12月'!D26:D26)</f>
        <v>24</v>
      </c>
      <c r="E26" s="11">
        <f>SUM('1月:12月'!E26:E26)</f>
        <v>8</v>
      </c>
      <c r="F26" s="11">
        <f>SUM('1月:12月'!F26:F26)</f>
        <v>0</v>
      </c>
      <c r="G26" s="11">
        <f>SUM('1月:12月'!G26:G26)</f>
        <v>2</v>
      </c>
      <c r="H26" s="11">
        <f>SUM('1月:12月'!H26:H26)</f>
        <v>0</v>
      </c>
      <c r="I26" s="11">
        <f>SUM('1月:12月'!I26:I26)</f>
        <v>0</v>
      </c>
      <c r="J26" s="11">
        <f>SUM('1月:12月'!J26:J26)</f>
        <v>1</v>
      </c>
      <c r="K26" s="11">
        <f>SUM('1月:12月'!K26:K26)</f>
        <v>2</v>
      </c>
      <c r="L26" s="11">
        <f>SUM('1月:12月'!L26:L26)</f>
        <v>0</v>
      </c>
      <c r="M26" s="11">
        <f>SUM('1月:12月'!M26:M26)</f>
        <v>0</v>
      </c>
      <c r="N26" s="11">
        <f>SUM('1月:12月'!N26:N26)</f>
        <v>0</v>
      </c>
      <c r="O26" s="11">
        <f>SUM('1月:12月'!O26:O26)</f>
        <v>0</v>
      </c>
      <c r="P26" s="11">
        <f>SUM('1月:12月'!P26:P26)</f>
        <v>0</v>
      </c>
      <c r="Q26" s="11">
        <f>SUM('1月:12月'!Q26:Q26)</f>
        <v>0</v>
      </c>
      <c r="R26" s="11">
        <f>SUM('1月:12月'!R26:R26)</f>
        <v>25</v>
      </c>
      <c r="S26" s="11">
        <f>SUM('1月:12月'!S26:S26)</f>
        <v>0</v>
      </c>
      <c r="T26" s="11">
        <f>SUM('1月:12月'!T26:T26)</f>
        <v>0</v>
      </c>
      <c r="U26" s="25">
        <f t="shared" si="0"/>
        <v>17</v>
      </c>
      <c r="V26" s="25">
        <f t="shared" si="1"/>
        <v>33</v>
      </c>
      <c r="W26" s="26">
        <f t="shared" si="2"/>
        <v>45</v>
      </c>
      <c r="X26" s="27">
        <f t="shared" si="3"/>
        <v>2299</v>
      </c>
      <c r="Y26" s="27">
        <f t="shared" si="4"/>
        <v>3883</v>
      </c>
    </row>
    <row r="27" ht="21" customHeight="1" spans="1:25">
      <c r="A27" s="10" t="s">
        <v>48</v>
      </c>
      <c r="B27" s="11">
        <f>SUM('1月:12月'!B27:B27)</f>
        <v>0</v>
      </c>
      <c r="C27" s="11">
        <f>SUM('1月:12月'!C27:C27)</f>
        <v>0</v>
      </c>
      <c r="D27" s="11">
        <f>SUM('1月:12月'!D27:D27)</f>
        <v>0</v>
      </c>
      <c r="E27" s="11">
        <f>SUM('1月:12月'!E27:E27)</f>
        <v>0</v>
      </c>
      <c r="F27" s="11">
        <f>SUM('1月:12月'!F27:F27)</f>
        <v>0</v>
      </c>
      <c r="G27" s="11">
        <f>SUM('1月:12月'!G27:G27)</f>
        <v>0</v>
      </c>
      <c r="H27" s="11">
        <f>SUM('1月:12月'!H27:H27)</f>
        <v>0</v>
      </c>
      <c r="I27" s="11">
        <f>SUM('1月:12月'!I27:I27)</f>
        <v>0</v>
      </c>
      <c r="J27" s="11">
        <f>SUM('1月:12月'!J27:J27)</f>
        <v>0</v>
      </c>
      <c r="K27" s="11">
        <f>SUM('1月:12月'!K27:K27)</f>
        <v>0</v>
      </c>
      <c r="L27" s="11">
        <f>SUM('1月:12月'!L27:L27)</f>
        <v>0</v>
      </c>
      <c r="M27" s="11">
        <f>SUM('1月:12月'!M27:M27)</f>
        <v>0</v>
      </c>
      <c r="N27" s="11">
        <f>SUM('1月:12月'!N27:N27)</f>
        <v>0</v>
      </c>
      <c r="O27" s="11">
        <f>SUM('1月:12月'!O27:O27)</f>
        <v>0</v>
      </c>
      <c r="P27" s="11">
        <f>SUM('1月:12月'!P27:P27)</f>
        <v>0</v>
      </c>
      <c r="Q27" s="11">
        <f>SUM('1月:12月'!Q27:Q27)</f>
        <v>0</v>
      </c>
      <c r="R27" s="11">
        <f>SUM('1月:12月'!R27:R27)</f>
        <v>15</v>
      </c>
      <c r="S27" s="11">
        <f>SUM('1月:12月'!S27:S27)</f>
        <v>0</v>
      </c>
      <c r="T27" s="11">
        <f>SUM('1月:12月'!T27:T27)</f>
        <v>0</v>
      </c>
      <c r="U27" s="25">
        <f t="shared" si="0"/>
        <v>0</v>
      </c>
      <c r="V27" s="25">
        <f t="shared" si="1"/>
        <v>0</v>
      </c>
      <c r="W27" s="26">
        <f t="shared" si="2"/>
        <v>0</v>
      </c>
      <c r="X27" s="27">
        <f t="shared" si="3"/>
        <v>0</v>
      </c>
      <c r="Y27" s="27">
        <f t="shared" si="4"/>
        <v>0</v>
      </c>
    </row>
    <row r="28" ht="21" customHeight="1" spans="1:25">
      <c r="A28" s="10" t="s">
        <v>50</v>
      </c>
      <c r="B28" s="11">
        <f>SUM('1月:12月'!B28:B28)</f>
        <v>0</v>
      </c>
      <c r="C28" s="11">
        <f>SUM('1月:12月'!C28:C28)</f>
        <v>30</v>
      </c>
      <c r="D28" s="11">
        <f>SUM('1月:12月'!D28:D28)</f>
        <v>143</v>
      </c>
      <c r="E28" s="11">
        <f>SUM('1月:12月'!E28:E28)</f>
        <v>85</v>
      </c>
      <c r="F28" s="11">
        <f>SUM('1月:12月'!F28:F28)</f>
        <v>0</v>
      </c>
      <c r="G28" s="11">
        <f>SUM('1月:12月'!G28:G28)</f>
        <v>34</v>
      </c>
      <c r="H28" s="11">
        <f>SUM('1月:12月'!H28:H28)</f>
        <v>0</v>
      </c>
      <c r="I28" s="11">
        <f>SUM('1月:12月'!I28:I28)</f>
        <v>0</v>
      </c>
      <c r="J28" s="11">
        <f>SUM('1月:12月'!J28:J28)</f>
        <v>5</v>
      </c>
      <c r="K28" s="11">
        <f>SUM('1月:12月'!K28:K28)</f>
        <v>0</v>
      </c>
      <c r="L28" s="11">
        <f>SUM('1月:12月'!L28:L28)</f>
        <v>7</v>
      </c>
      <c r="M28" s="11">
        <f>SUM('1月:12月'!M28:M28)</f>
        <v>0</v>
      </c>
      <c r="N28" s="11">
        <f>SUM('1月:12月'!N28:N28)</f>
        <v>0</v>
      </c>
      <c r="O28" s="11">
        <f>SUM('1月:12月'!O28:O28)</f>
        <v>0</v>
      </c>
      <c r="P28" s="11">
        <f>SUM('1月:12月'!P28:P28)</f>
        <v>0</v>
      </c>
      <c r="Q28" s="11">
        <f>SUM('1月:12月'!Q28:Q28)</f>
        <v>0</v>
      </c>
      <c r="R28" s="11">
        <f>SUM('1月:12月'!R28:R28)</f>
        <v>15</v>
      </c>
      <c r="S28" s="11">
        <f>SUM('1月:12月'!S28:S28)</f>
        <v>0</v>
      </c>
      <c r="T28" s="11">
        <f>SUM('1月:12月'!T28:T28)</f>
        <v>0</v>
      </c>
      <c r="U28" s="25">
        <f t="shared" si="0"/>
        <v>161</v>
      </c>
      <c r="V28" s="25">
        <f t="shared" si="1"/>
        <v>161</v>
      </c>
      <c r="W28" s="26">
        <f t="shared" si="2"/>
        <v>223</v>
      </c>
      <c r="X28" s="27">
        <f t="shared" si="3"/>
        <v>22643.5</v>
      </c>
      <c r="Y28" s="27">
        <f t="shared" si="4"/>
        <v>22643.5</v>
      </c>
    </row>
    <row r="29" ht="21" customHeight="1" spans="1:25">
      <c r="A29" s="12" t="s">
        <v>51</v>
      </c>
      <c r="B29" s="11">
        <f>SUM('1月:12月'!B29:B29)</f>
        <v>2333</v>
      </c>
      <c r="C29" s="11">
        <f>SUM('1月:12月'!C29:C29)</f>
        <v>625</v>
      </c>
      <c r="D29" s="11">
        <f>SUM('1月:12月'!D29:D29)</f>
        <v>6210</v>
      </c>
      <c r="E29" s="11">
        <f>SUM('1月:12月'!E29:E29)</f>
        <v>4647</v>
      </c>
      <c r="F29" s="11">
        <f>SUM('1月:12月'!F29:F29)</f>
        <v>23</v>
      </c>
      <c r="G29" s="11">
        <f>SUM('1月:12月'!G29:G29)</f>
        <v>1538</v>
      </c>
      <c r="H29" s="11">
        <f>SUM('1月:12月'!H29:H29)</f>
        <v>0</v>
      </c>
      <c r="I29" s="11">
        <f>SUM('1月:12月'!I29:I29)</f>
        <v>0</v>
      </c>
      <c r="J29" s="11">
        <f>SUM('1月:12月'!J29:J29)</f>
        <v>14</v>
      </c>
      <c r="K29" s="11">
        <f>SUM('1月:12月'!K29:K29)</f>
        <v>0</v>
      </c>
      <c r="L29" s="11">
        <f>SUM('1月:12月'!L29:L29)</f>
        <v>0</v>
      </c>
      <c r="M29" s="11">
        <f>SUM('1月:12月'!M29:M29)</f>
        <v>0</v>
      </c>
      <c r="N29" s="11">
        <f>SUM('1月:12月'!N29:N29)</f>
        <v>0</v>
      </c>
      <c r="O29" s="11">
        <f>SUM('1月:12月'!O29:O29)</f>
        <v>0</v>
      </c>
      <c r="P29" s="11">
        <f>SUM('1月:12月'!P29:P29)</f>
        <v>3</v>
      </c>
      <c r="Q29" s="11">
        <f>SUM('1月:12月'!Q29:Q29)</f>
        <v>0</v>
      </c>
      <c r="R29" s="11">
        <f>SUM('1月:12月'!R29:R29)</f>
        <v>0</v>
      </c>
      <c r="S29" s="11">
        <f>SUM('1月:12月'!S29:S29)</f>
        <v>0</v>
      </c>
      <c r="T29" s="11">
        <f>SUM('1月:12月'!T29:T29)</f>
        <v>0</v>
      </c>
      <c r="U29" s="28">
        <f t="shared" si="0"/>
        <v>6850</v>
      </c>
      <c r="V29" s="25">
        <f t="shared" si="1"/>
        <v>9183</v>
      </c>
      <c r="W29" s="26">
        <v>0</v>
      </c>
      <c r="X29" s="28">
        <f t="shared" si="3"/>
        <v>984940</v>
      </c>
      <c r="Y29" s="28">
        <f t="shared" si="4"/>
        <v>1215907</v>
      </c>
    </row>
    <row r="30" ht="21" hidden="1" customHeight="1" spans="1:25">
      <c r="A30" s="10"/>
      <c r="B30" s="11">
        <f>SUM('1月:12月'!B30:B30)</f>
        <v>0</v>
      </c>
      <c r="C30" s="11">
        <f>SUM('1月:12月'!C30:C30)</f>
        <v>0</v>
      </c>
      <c r="D30" s="11">
        <f>SUM('1月:12月'!D30:D30)</f>
        <v>0</v>
      </c>
      <c r="E30" s="11">
        <f>SUM('1月:12月'!E30:E30)</f>
        <v>0</v>
      </c>
      <c r="F30" s="11">
        <f>SUM('1月:12月'!F30:F30)</f>
        <v>0</v>
      </c>
      <c r="G30" s="11">
        <f>SUM('1月:12月'!G30:G30)</f>
        <v>0</v>
      </c>
      <c r="H30" s="11">
        <f>SUM('1月:12月'!H30:H30)</f>
        <v>0</v>
      </c>
      <c r="I30" s="11">
        <f>SUM('1月:12月'!I30:I30)</f>
        <v>0</v>
      </c>
      <c r="J30" s="11">
        <f>SUM('1月:12月'!J30:J30)</f>
        <v>0</v>
      </c>
      <c r="K30" s="11">
        <f>SUM('1月:12月'!K30:K30)</f>
        <v>0</v>
      </c>
      <c r="L30" s="11">
        <f>SUM('1月:12月'!L30:L30)</f>
        <v>0</v>
      </c>
      <c r="M30" s="11">
        <f>SUM('1月:12月'!M30:M30)</f>
        <v>0</v>
      </c>
      <c r="N30" s="11">
        <f>SUM('1月:12月'!N30:N30)</f>
        <v>0</v>
      </c>
      <c r="O30" s="11">
        <f>SUM('1月:12月'!O30:O30)</f>
        <v>0</v>
      </c>
      <c r="P30" s="11">
        <f>SUM('1月:12月'!P30:P30)</f>
        <v>0</v>
      </c>
      <c r="Q30" s="11">
        <f>SUM('1月:12月'!Q30:Q30)</f>
        <v>0</v>
      </c>
      <c r="R30" s="11">
        <f>SUM('1月:12月'!R30:R30)</f>
        <v>0</v>
      </c>
      <c r="S30" s="11">
        <f>SUM('1月:12月'!S30:S30)</f>
        <v>0</v>
      </c>
      <c r="T30" s="11">
        <f>SUM('1月:12月'!T30:T30)</f>
        <v>0</v>
      </c>
      <c r="U30" s="25">
        <f>SUM(B30:Q30)</f>
        <v>0</v>
      </c>
      <c r="V30" s="25">
        <f t="shared" si="1"/>
        <v>0</v>
      </c>
      <c r="W30" s="26">
        <f>B30+C30+E30+F30+G30*2+H30*3+I30*3+J30+K30*6+L30*5+M30+N30*5+O30*5+P30+Q30</f>
        <v>0</v>
      </c>
      <c r="X30" s="27">
        <f t="shared" si="3"/>
        <v>0</v>
      </c>
      <c r="Y30" s="27">
        <f t="shared" si="4"/>
        <v>0</v>
      </c>
    </row>
    <row r="31" ht="21" customHeight="1" spans="1:25">
      <c r="A31" s="13" t="s">
        <v>52</v>
      </c>
      <c r="B31" s="11">
        <f>SUM('1月:12月'!B31:B31)</f>
        <v>62140</v>
      </c>
      <c r="C31" s="11">
        <f>SUM('1月:12月'!C31:C31)</f>
        <v>10081</v>
      </c>
      <c r="D31" s="11">
        <f>SUM('1月:12月'!D31:D31)</f>
        <v>125657</v>
      </c>
      <c r="E31" s="11">
        <f>SUM('1月:12月'!E31:E31)</f>
        <v>101622</v>
      </c>
      <c r="F31" s="11">
        <f>SUM('1月:12月'!F31:F31)</f>
        <v>100</v>
      </c>
      <c r="G31" s="11">
        <f>SUM('1月:12月'!G31:G31)</f>
        <v>24311</v>
      </c>
      <c r="H31" s="11">
        <f>SUM('1月:12月'!H31:H31)</f>
        <v>390</v>
      </c>
      <c r="I31" s="11">
        <f>SUM('1月:12月'!I31:I31)</f>
        <v>212</v>
      </c>
      <c r="J31" s="11">
        <f>SUM('1月:12月'!J31:J31)</f>
        <v>1984</v>
      </c>
      <c r="K31" s="11">
        <f>SUM('1月:12月'!K31:K31)</f>
        <v>1115</v>
      </c>
      <c r="L31" s="11">
        <f>SUM('1月:12月'!L31:L31)</f>
        <v>1580</v>
      </c>
      <c r="M31" s="11">
        <f>SUM('1月:12月'!M31:M31)</f>
        <v>16</v>
      </c>
      <c r="N31" s="11">
        <f>SUM('1月:12月'!N31:N31)</f>
        <v>111</v>
      </c>
      <c r="O31" s="11">
        <f>SUM('1月:12月'!O31:O31)</f>
        <v>555</v>
      </c>
      <c r="P31" s="11">
        <f>SUM('1月:12月'!P31:P31)</f>
        <v>3</v>
      </c>
      <c r="Q31" s="11">
        <f>SUM('1月:12月'!Q31:Q31)</f>
        <v>2725</v>
      </c>
      <c r="R31" s="11">
        <f>SUM('1月:12月'!R31:R31)</f>
        <v>1702</v>
      </c>
      <c r="S31" s="11">
        <f>SUM('1月:12月'!S31:S31)</f>
        <v>213</v>
      </c>
      <c r="T31" s="11">
        <f>SUM('1月:12月'!T31:T31)</f>
        <v>0</v>
      </c>
      <c r="U31" s="15">
        <f t="shared" ref="U31:X31" si="5">SUM(U4:U30)</f>
        <v>142080</v>
      </c>
      <c r="V31" s="25">
        <f t="shared" si="1"/>
        <v>204220</v>
      </c>
      <c r="W31" s="26">
        <f t="shared" si="5"/>
        <v>236298</v>
      </c>
      <c r="X31" s="29">
        <f t="shared" si="5"/>
        <v>19091802.5</v>
      </c>
      <c r="Y31" s="27">
        <f t="shared" si="4"/>
        <v>25243662.5</v>
      </c>
    </row>
    <row r="32" ht="21" customHeight="1" spans="1:25">
      <c r="A32" s="14" t="s">
        <v>53</v>
      </c>
      <c r="B32" s="15">
        <f t="shared" ref="B32:P32" si="6">B31*B3</f>
        <v>6151860</v>
      </c>
      <c r="C32" s="15">
        <f t="shared" si="6"/>
        <v>1330692</v>
      </c>
      <c r="D32" s="15">
        <f t="shared" si="6"/>
        <v>691113.5</v>
      </c>
      <c r="E32" s="15">
        <f t="shared" si="6"/>
        <v>10060578</v>
      </c>
      <c r="F32" s="15">
        <f t="shared" si="6"/>
        <v>5500</v>
      </c>
      <c r="G32" s="15">
        <f t="shared" si="6"/>
        <v>6418104</v>
      </c>
      <c r="H32" s="15">
        <f t="shared" si="6"/>
        <v>120900</v>
      </c>
      <c r="I32" s="15">
        <f t="shared" si="6"/>
        <v>60632</v>
      </c>
      <c r="J32" s="15">
        <f t="shared" si="6"/>
        <v>109120</v>
      </c>
      <c r="K32" s="15">
        <f t="shared" si="6"/>
        <v>147180</v>
      </c>
      <c r="L32" s="15">
        <f t="shared" si="6"/>
        <v>52140</v>
      </c>
      <c r="M32" s="15">
        <f t="shared" si="6"/>
        <v>440</v>
      </c>
      <c r="N32" s="15">
        <f t="shared" si="6"/>
        <v>15873</v>
      </c>
      <c r="O32" s="15">
        <f t="shared" si="6"/>
        <v>79365</v>
      </c>
      <c r="P32" s="15">
        <f t="shared" si="6"/>
        <v>165</v>
      </c>
      <c r="Q32" s="15"/>
      <c r="R32" s="15"/>
      <c r="S32" s="15"/>
      <c r="T32" s="15"/>
      <c r="U32" s="29" t="s">
        <v>54</v>
      </c>
      <c r="V32" s="29" t="s">
        <v>54</v>
      </c>
      <c r="W32" s="26" t="s">
        <v>54</v>
      </c>
      <c r="X32" s="29">
        <f>SUM(C32:P32)</f>
        <v>19091802.5</v>
      </c>
      <c r="Y32" s="29">
        <f>SUM(B32:P32)</f>
        <v>25243662.5</v>
      </c>
    </row>
    <row r="33" ht="21" customHeight="1"/>
  </sheetData>
  <protectedRanges>
    <protectedRange sqref="E29:G31" name="区域1_1_1_1"/>
    <protectedRange sqref="E4:G28" name="区域1_2"/>
    <protectedRange sqref="R4:T4 Q5:T28 M4:M28" name="区域1_3_1_1_1"/>
    <protectedRange sqref="H4:H16" name="区域1_3_1"/>
    <protectedRange sqref="N4:P28" name="区域1_8_1"/>
    <protectedRange sqref="R4:T4 Q5:T28 M4:M28" name="区域1_3_1_1_2"/>
    <protectedRange sqref="E29:G31" name="区域1_1"/>
    <protectedRange sqref="H4:H16" name="区域1_3"/>
    <protectedRange sqref="J4:M28" name="区域1_6_1"/>
    <protectedRange sqref="N4:P28" name="区域1_8"/>
    <protectedRange sqref="D4:D28" name="区域1_4_1"/>
    <protectedRange sqref="R4:T4 Q5:T28 M4:M28" name="区域1_3_1_1"/>
    <protectedRange sqref="B4:C28" name="区域1"/>
    <protectedRange sqref="E29:G31" name="区域1_1_1"/>
    <protectedRange sqref="E4:G28" name="区域1_2_1"/>
    <protectedRange sqref="H4:H16" name="区域1_3_2"/>
    <protectedRange sqref="I4:I16" name="区域1_5"/>
    <protectedRange sqref="J4:M28" name="区域1_6"/>
    <protectedRange sqref="N29:P31" name="区域1_7"/>
    <protectedRange sqref="N4:P28" name="区域1_8_2"/>
  </protectedRanges>
  <autoFilter ref="A1:X32">
    <extLst/>
  </autoFilter>
  <mergeCells count="7">
    <mergeCell ref="A1:X1"/>
    <mergeCell ref="A2:A3"/>
    <mergeCell ref="U2:U3"/>
    <mergeCell ref="V2:V3"/>
    <mergeCell ref="W2:W3"/>
    <mergeCell ref="X2:X3"/>
    <mergeCell ref="Y2:Y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3_1_1" rangeCreator="" othersAccessPermission="edit"/>
    <arrUserId title="区域1_1" rangeCreator="" othersAccessPermission="edit"/>
    <arrUserId title="区域1_8" rangeCreator="" othersAccessPermission="edit"/>
    <arrUserId title="区域1_1_1_1" rangeCreator="" othersAccessPermission="edit"/>
    <arrUserId title="区域1_2" rangeCreator="" othersAccessPermission="edit"/>
    <arrUserId title="区域1_3_1_1_1" rangeCreator="" othersAccessPermission="edit"/>
    <arrUserId title="区域1_8_1" rangeCreator="" othersAccessPermission="edit"/>
    <arrUserId title="区域1_3_1_1_2" rangeCreator="" othersAccessPermission="edit"/>
    <arrUserId title="区域1_1_1" rangeCreator="" othersAccessPermission="edit"/>
    <arrUserId title="区域1_8_2" rangeCreator="" othersAccessPermission="edit"/>
    <arrUserId title="区域1_3_1_1_3" rangeCreator="" othersAccessPermission="edit"/>
    <arrUserId title="区域1_1_1_2" rangeCreator="" othersAccessPermission="edit"/>
    <arrUserId title="区域1_2_1" rangeCreator="" othersAccessPermission="edit"/>
    <arrUserId title="区域1_5" rangeCreator="" othersAccessPermission="edit"/>
    <arrUserId title="区域1_7" rangeCreator="" othersAccessPermission="edit"/>
    <arrUserId title="区域1_8_2_1" rangeCreator="" othersAccessPermission="edit"/>
    <arrUserId title="区域1_4" rangeCreator="" othersAccessPermission="edit"/>
    <arrUserId title="区域1" rangeCreator="" othersAccessPermission="edit"/>
    <arrUserId title="区域1_9" rangeCreator="" othersAccessPermission="edit"/>
    <arrUserId title="区域1_10" rangeCreator="" othersAccessPermission="edit"/>
    <arrUserId title="区域1_11" rangeCreator="" othersAccessPermission="edit"/>
    <arrUserId title="区域1_3" rangeCreator="" othersAccessPermission="edit"/>
    <arrUserId title="区域1_12" rangeCreator="" othersAccessPermission="edit"/>
    <arrUserId title="区域1_6" rangeCreator="" othersAccessPermission="edit"/>
    <arrUserId title="区域1_13" rangeCreator="" othersAccessPermission="edit"/>
    <arrUserId title="区域1_14" rangeCreator="" othersAccessPermission="edit"/>
    <arrUserId title="区域1_15" rangeCreator="" othersAccessPermission="edit"/>
    <arrUserId title="区域1_16" rangeCreator="" othersAccessPermission="edit"/>
    <arrUserId title="区域1_17" rangeCreator="" othersAccessPermission="edit"/>
    <arrUserId title="区域1_18" rangeCreator="" othersAccessPermission="edit"/>
  </rangeList>
  <rangeList sheetStid="2" master="">
    <arrUserId title="区域1_1_2" rangeCreator="" othersAccessPermission="edit"/>
    <arrUserId title="区域1_1_1" rangeCreator="" othersAccessPermission="edit"/>
    <arrUserId title="区域1_8_1_1" rangeCreator="" othersAccessPermission="edit"/>
    <arrUserId title="区域1_4" rangeCreator="" othersAccessPermission="edit"/>
    <arrUserId title="区域1_3_1_1" rangeCreator="" othersAccessPermission="edit"/>
    <arrUserId title="区域1_8" rangeCreator="" othersAccessPermission="edit"/>
    <arrUserId title="区域1_3_1" rangeCreator="" othersAccessPermission="edit"/>
    <arrUserId title="区域1_3_2" rangeCreator="" othersAccessPermission="edit"/>
    <arrUserId title="区域1_3_1_1_3" rangeCreator="" othersAccessPermission="edit"/>
    <arrUserId title="区域1_3_2_1" rangeCreator="" othersAccessPermission="edit"/>
    <arrUserId title="区域1_8_2_1" rangeCreator="" othersAccessPermission="edit"/>
    <arrUserId title="区域1_1" rangeCreator="" othersAccessPermission="edit"/>
    <arrUserId title="区域1_6" rangeCreator="" othersAccessPermission="edit"/>
    <arrUserId title="区域1_1_1_1" rangeCreator="" othersAccessPermission="edit"/>
    <arrUserId title="区域1_3_1_1_1_1" rangeCreator="" othersAccessPermission="edit"/>
    <arrUserId title="区域1_8_1_2" rangeCreator="" othersAccessPermission="edit"/>
    <arrUserId title="区域1_1_1_2" rangeCreator="" othersAccessPermission="edit"/>
    <arrUserId title="区域1_6_1" rangeCreator="" othersAccessPermission="edit"/>
    <arrUserId title="区域1_4_1" rangeCreator="" othersAccessPermission="edit"/>
    <arrUserId title="区域1" rangeCreator="" othersAccessPermission="edit"/>
    <arrUserId title="区域1_2_1_2" rangeCreator="" othersAccessPermission="edit"/>
    <arrUserId title="区域1_5_1" rangeCreator="" othersAccessPermission="edit"/>
    <arrUserId title="区域1_7" rangeCreator="" othersAccessPermission="edit"/>
    <arrUserId title="区域1_3_1_1_1" rangeCreator="" othersAccessPermission="edit"/>
    <arrUserId title="区域1_1_3" rangeCreator="" othersAccessPermission="edit"/>
    <arrUserId title="区域1_8_1" rangeCreator="" othersAccessPermission="edit"/>
    <arrUserId title="区域1_1_1_1_1" rangeCreator="" othersAccessPermission="edit"/>
    <arrUserId title="区域1_2" rangeCreator="" othersAccessPermission="edit"/>
    <arrUserId title="区域1_3_1_1_1_2" rangeCreator="" othersAccessPermission="edit"/>
    <arrUserId title="区域1_8_1_3" rangeCreator="" othersAccessPermission="edit"/>
    <arrUserId title="区域1_3_1_1_2" rangeCreator="" othersAccessPermission="edit"/>
    <arrUserId title="区域1_1_1_3" rangeCreator="" othersAccessPermission="edit"/>
    <arrUserId title="区域1_8_2" rangeCreator="" othersAccessPermission="edit"/>
    <arrUserId title="区域1_3_1_1_3_1" rangeCreator="" othersAccessPermission="edit"/>
    <arrUserId title="区域1_1_1_2_1" rangeCreator="" othersAccessPermission="edit"/>
    <arrUserId title="区域1_2_1" rangeCreator="" othersAccessPermission="edit"/>
    <arrUserId title="区域1_5" rangeCreator="" othersAccessPermission="edit"/>
    <arrUserId title="区域1_7_1" rangeCreator="" othersAccessPermission="edit"/>
    <arrUserId title="区域1_8_2_1_1" rangeCreator="" othersAccessPermission="edit"/>
    <arrUserId title="区域1_4_2" rangeCreator="" othersAccessPermission="edit"/>
    <arrUserId title="区域1_3" rangeCreator="" othersAccessPermission="edit"/>
    <arrUserId title="区域1_9" rangeCreator="" othersAccessPermission="edit"/>
    <arrUserId title="区域1_10" rangeCreator="" othersAccessPermission="edit"/>
    <arrUserId title="区域1_3_3" rangeCreator="" othersAccessPermission="edit"/>
    <arrUserId title="区域1_12" rangeCreator="" othersAccessPermission="edit"/>
    <arrUserId title="区域1_6_2" rangeCreator="" othersAccessPermission="edit"/>
    <arrUserId title="区域1_13" rangeCreator="" othersAccessPermission="edit"/>
    <arrUserId title="区域1_14" rangeCreator="" othersAccessPermission="edit"/>
    <arrUserId title="区域1_15" rangeCreator="" othersAccessPermission="edit"/>
    <arrUserId title="区域1_16" rangeCreator="" othersAccessPermission="edit"/>
    <arrUserId title="区域1_17" rangeCreator="" othersAccessPermission="edit"/>
    <arrUserId title="区域1_18" rangeCreator="" othersAccessPermission="edit"/>
    <arrUserId title="区域1_1_1_1_2" rangeCreator="" othersAccessPermission="edit"/>
    <arrUserId title="区域1_1_1_2_2" rangeCreator="" othersAccessPermission="edit"/>
    <arrUserId title="区域1_1_4" rangeCreator="" othersAccessPermission="edit"/>
    <arrUserId title="区域1_1_1_1_3" rangeCreator="" othersAccessPermission="edit"/>
    <arrUserId title="区域1_1_1_4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6" rangeCreator="" othersAccessPermission="edit"/>
    <arrUserId title="区域1_1_1_1_5" rangeCreator="" othersAccessPermission="edit"/>
    <arrUserId title="区域1_1_1_6" rangeCreator="" othersAccessPermission="edit"/>
    <arrUserId title="区域1_1_1_2_5" rangeCreator="" othersAccessPermission="edit"/>
    <arrUserId title="区域1_7_3" rangeCreator="" othersAccessPermission="edit"/>
    <arrUserId title="区域1_1_7" rangeCreator="" othersAccessPermission="edit"/>
    <arrUserId title="区域1_1_1_1_6" rangeCreator="" othersAccessPermission="edit"/>
    <arrUserId title="区域1_1_1_7" rangeCreator="" othersAccessPermission="edit"/>
    <arrUserId title="区域1_1_1_2_6" rangeCreator="" othersAccessPermission="edit"/>
    <arrUserId title="区域1_1_8" rangeCreator="" othersAccessPermission="edit"/>
    <arrUserId title="区域1_1_1_1_7" rangeCreator="" othersAccessPermission="edit"/>
    <arrUserId title="区域1_1_1_8" rangeCreator="" othersAccessPermission="edit"/>
    <arrUserId title="区域1_1_1_2_7" rangeCreator="" othersAccessPermission="edit"/>
    <arrUserId title="区域1_7_4" rangeCreator="" othersAccessPermission="edit"/>
    <arrUserId title="区域1_1_9" rangeCreator="" othersAccessPermission="edit"/>
    <arrUserId title="区域1_1_1_1_8" rangeCreator="" othersAccessPermission="edit"/>
    <arrUserId title="区域1_1_1_9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10" rangeCreator="" othersAccessPermission="edit"/>
    <arrUserId title="区域1_1_12" rangeCreator="" othersAccessPermission="edit"/>
    <arrUserId title="区域1_1_1_1_11" rangeCreator="" othersAccessPermission="edit"/>
    <arrUserId title="区域1_1_1_12" rangeCreator="" othersAccessPermission="edit"/>
    <arrUserId title="区域1_1_1_2_11" rangeCreator="" othersAccessPermission="edit"/>
    <arrUserId title="区域1_1_13" rangeCreator="" othersAccessPermission="edit"/>
    <arrUserId title="区域1_1_1_1_12" rangeCreator="" othersAccessPermission="edit"/>
    <arrUserId title="区域1_1_1_13" rangeCreator="" othersAccessPermission="edit"/>
    <arrUserId title="区域1_1_1_2_12" rangeCreator="" othersAccessPermission="edit"/>
    <arrUserId title="区域1_1_14" rangeCreator="" othersAccessPermission="edit"/>
    <arrUserId title="区域1_1_1_1_13" rangeCreator="" othersAccessPermission="edit"/>
    <arrUserId title="区域1_1_1_14" rangeCreator="" othersAccessPermission="edit"/>
    <arrUserId title="区域1_1_1_2_13" rangeCreator="" othersAccessPermission="edit"/>
    <arrUserId title="区域1_7_5" rangeCreator="" othersAccessPermission="edit"/>
    <arrUserId title="区域1_1_15" rangeCreator="" othersAccessPermission="edit"/>
    <arrUserId title="区域1_1_1_1_14" rangeCreator="" othersAccessPermission="edit"/>
    <arrUserId title="区域1_1_1_15" rangeCreator="" othersAccessPermission="edit"/>
    <arrUserId title="区域1_1_1_2_14" rangeCreator="" othersAccessPermission="edit"/>
    <arrUserId title="区域1_7_6" rangeCreator="" othersAccessPermission="edit"/>
    <arrUserId title="区域1_1_16" rangeCreator="" othersAccessPermission="edit"/>
    <arrUserId title="区域1_1_1_1_15" rangeCreator="" othersAccessPermission="edit"/>
    <arrUserId title="区域1_1_1_16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8" rangeCreator="" othersAccessPermission="edit"/>
    <arrUserId title="区域1_1_1_1_17" rangeCreator="" othersAccessPermission="edit"/>
    <arrUserId title="区域1_1_1_18" rangeCreator="" othersAccessPermission="edit"/>
    <arrUserId title="区域1_1_1_2_17" rangeCreator="" othersAccessPermission="edit"/>
    <arrUserId title="区域1_1_19" rangeCreator="" othersAccessPermission="edit"/>
    <arrUserId title="区域1_1_1_1_18" rangeCreator="" othersAccessPermission="edit"/>
    <arrUserId title="区域1_1_1_19" rangeCreator="" othersAccessPermission="edit"/>
    <arrUserId title="区域1_1_1_2_18" rangeCreator="" othersAccessPermission="edit"/>
  </rangeList>
  <rangeList sheetStid="3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1_2" rangeCreator="" othersAccessPermission="edit"/>
    <arrUserId title="区域1_1_1_4" rangeCreator="" othersAccessPermission="edit"/>
    <arrUserId title="区域1_8_1_1" rangeCreator="" othersAccessPermission="edit"/>
    <arrUserId title="区域1_4_1" rangeCreator="" othersAccessPermission="edit"/>
    <arrUserId title="区域1_3_1_1" rangeCreator="" othersAccessPermission="edit"/>
    <arrUserId title="区域1_8_2" rangeCreator="" othersAccessPermission="edit"/>
    <arrUserId title="区域1_3_1" rangeCreator="" othersAccessPermission="edit"/>
    <arrUserId title="区域1_3_2_3" rangeCreator="" othersAccessPermission="edit"/>
    <arrUserId title="区域1_3_1_1_3" rangeCreator="" othersAccessPermission="edit"/>
    <arrUserId title="区域1_3_2_1_2" rangeCreator="" othersAccessPermission="edit"/>
    <arrUserId title="区域1_8_2_1" rangeCreator="" othersAccessPermission="edit"/>
    <arrUserId title="区域1_1_3" rangeCreator="" othersAccessPermission="edit"/>
    <arrUserId title="区域1_6" rangeCreator="" othersAccessPermission="edit"/>
    <arrUserId title="区域1_1_1_1_1" rangeCreator="" othersAccessPermission="edit"/>
    <arrUserId title="区域1_3_1_1_1_1" rangeCreator="" othersAccessPermission="edit"/>
    <arrUserId title="区域1_8_1_2_1" rangeCreator="" othersAccessPermission="edit"/>
    <arrUserId title="区域1_1_1_2_1" rangeCreator="" othersAccessPermission="edit"/>
    <arrUserId title="区域1_6_1" rangeCreator="" othersAccessPermission="edit"/>
    <arrUserId title="区域1_4_1_1" rangeCreator="" othersAccessPermission="edit"/>
    <arrUserId title="区域1_5" rangeCreator="" othersAccessPermission="edit"/>
    <arrUserId title="区域1_2_1_2" rangeCreator="" othersAccessPermission="edit"/>
    <arrUserId title="区域1_5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" rangeCreator="" othersAccessPermission="edit"/>
    <arrUserId title="区域1_2_1" rangeCreator="" othersAccessPermission="edit"/>
    <arrUserId title="区域1_3_1_1_1_2_1" rangeCreator="" othersAccessPermission="edit"/>
    <arrUserId title="区域1_8_1_3_2" rangeCreator="" othersAccessPermission="edit"/>
    <arrUserId title="区域1_3_1_1_2" rangeCreator="" othersAccessPermission="edit"/>
    <arrUserId title="区域1_1_1_3_1" rangeCreator="" othersAccessPermission="edit"/>
    <arrUserId title="区域1_8_2_2" rangeCreator="" othersAccessPermission="edit"/>
    <arrUserId title="区域1_3_1_1_3_1_2" rangeCreator="" othersAccessPermission="edit"/>
    <arrUserId title="区域1_1_1_2_1_1" rangeCreator="" othersAccessPermission="edit"/>
    <arrUserId title="区域1_2_1_3" rangeCreator="" othersAccessPermission="edit"/>
    <arrUserId title="区域1_5_2" rangeCreator="" othersAccessPermission="edit"/>
    <arrUserId title="区域1_7_1_1" rangeCreator="" othersAccessPermission="edit"/>
    <arrUserId title="区域1_8_2_1_1_1" rangeCreator="" othersAccessPermission="edit"/>
    <arrUserId title="区域1_4_2_1" rangeCreator="" othersAccessPermission="edit"/>
    <arrUserId title="区域1_3_3" rangeCreator="" othersAccessPermission="edit"/>
    <arrUserId title="区域1_9_1" rangeCreator="" othersAccessPermission="edit"/>
    <arrUserId title="区域1_10" rangeCreator="" othersAccessPermission="edit"/>
    <arrUserId title="区域1_3_3_1" rangeCreator="" othersAccessPermission="edit"/>
    <arrUserId title="区域1_12_1" rangeCreator="" othersAccessPermission="edit"/>
    <arrUserId title="区域1_6_2" rangeCreator="" othersAccessPermission="edit"/>
    <arrUserId title="区域1_13_1" rangeCreator="" othersAccessPermission="edit"/>
    <arrUserId title="区域1_14" rangeCreator="" othersAccessPermission="edit"/>
    <arrUserId title="区域1_15_1" rangeCreator="" othersAccessPermission="edit"/>
    <arrUserId title="区域1_16" rangeCreator="" othersAccessPermission="edit"/>
    <arrUserId title="区域1_17_1" rangeCreator="" othersAccessPermission="edit"/>
    <arrUserId title="区域1_18" rangeCreator="" othersAccessPermission="edit"/>
    <arrUserId title="区域1_1_1_2_2" rangeCreator="" othersAccessPermission="edit"/>
    <arrUserId title="区域1_1_1_1_3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1_1_5" rangeCreator="" othersAccessPermission="edit"/>
    <arrUserId title="区域1_1_1_2_5" rangeCreator="" othersAccessPermission="edit"/>
    <arrUserId title="区域1_1_1_1_6" rangeCreator="" othersAccessPermission="edit"/>
    <arrUserId title="区域1_1_1_2_6" rangeCreator="" othersAccessPermission="edit"/>
    <arrUserId title="区域1_1_8" rangeCreator="" othersAccessPermission="edit"/>
    <arrUserId title="区域1_1_1_1_7" rangeCreator="" othersAccessPermission="edit"/>
    <arrUserId title="区域1_1_1_8" rangeCreator="" othersAccessPermission="edit"/>
    <arrUserId title="区域1_1_1_2_7" rangeCreator="" othersAccessPermission="edit"/>
    <arrUserId title="区域1_7_4" rangeCreator="" othersAccessPermission="edit"/>
    <arrUserId title="区域1_1_1_1_8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_1_10" rangeCreator="" othersAccessPermission="edit"/>
    <arrUserId title="区域1_1_1_2_10" rangeCreator="" othersAccessPermission="edit"/>
    <arrUserId title="区域1_1_1_1_11" rangeCreator="" othersAccessPermission="edit"/>
    <arrUserId title="区域1_1_1_2_11" rangeCreator="" othersAccessPermission="edit"/>
    <arrUserId title="区域1_1_1_1_12" rangeCreator="" othersAccessPermission="edit"/>
    <arrUserId title="区域1_1_1_2_12" rangeCreator="" othersAccessPermission="edit"/>
    <arrUserId title="区域1_1_1_1_13" rangeCreator="" othersAccessPermission="edit"/>
    <arrUserId title="区域1_1_1_2_13" rangeCreator="" othersAccessPermission="edit"/>
    <arrUserId title="区域1_1_1_1_14" rangeCreator="" othersAccessPermission="edit"/>
    <arrUserId title="区域1_1_1_2_14" rangeCreator="" othersAccessPermission="edit"/>
    <arrUserId title="区域1_1_1_1_15" rangeCreator="" othersAccessPermission="edit"/>
    <arrUserId title="区域1_1_1_2_15" rangeCreator="" othersAccessPermission="edit"/>
    <arrUserId title="区域1_1_1_1_16" rangeCreator="" othersAccessPermission="edit"/>
    <arrUserId title="区域1_1_1_2_16" rangeCreator="" othersAccessPermission="edit"/>
    <arrUserId title="区域1_1_1_1_17" rangeCreator="" othersAccessPermission="edit"/>
    <arrUserId title="区域1_1_1_2_17" rangeCreator="" othersAccessPermission="edit"/>
    <arrUserId title="区域1_1_1_1_18" rangeCreator="" othersAccessPermission="edit"/>
    <arrUserId title="区域1_1_1_2_18" rangeCreator="" othersAccessPermission="edit"/>
    <arrUserId title="区域1_1_7" rangeCreator="" othersAccessPermission="edit"/>
    <arrUserId title="区域1_1_1_1_19" rangeCreator="" othersAccessPermission="edit"/>
    <arrUserId title="区域1_1_1_7" rangeCreator="" othersAccessPermission="edit"/>
    <arrUserId title="区域1_1_1_2_19" rangeCreator="" othersAccessPermission="edit"/>
    <arrUserId title="区域1_1_15" rangeCreator="" othersAccessPermission="edit"/>
    <arrUserId title="区域1_1_1_1_20" rangeCreator="" othersAccessPermission="edit"/>
    <arrUserId title="区域1_1_1_15" rangeCreator="" othersAccessPermission="edit"/>
    <arrUserId title="区域1_1_1_2_20" rangeCreator="" othersAccessPermission="edit"/>
    <arrUserId title="区域1_7_6" rangeCreator="" othersAccessPermission="edit"/>
    <arrUserId title="区域1_1_4" rangeCreator="" othersAccessPermission="edit"/>
    <arrUserId title="区域1_1_1_1_2" rangeCreator="" othersAccessPermission="edit"/>
    <arrUserId title="区域1_1_1_20" rangeCreator="" othersAccessPermission="edit"/>
    <arrUserId title="区域1_1_1_2_21" rangeCreator="" othersAccessPermission="edit"/>
    <arrUserId title="区域1_1_16" rangeCreator="" othersAccessPermission="edit"/>
    <arrUserId title="区域1_1_1_1_21" rangeCreator="" othersAccessPermission="edit"/>
    <arrUserId title="区域1_1_1_16" rangeCreator="" othersAccessPermission="edit"/>
    <arrUserId title="区域1_1_1_2_22" rangeCreator="" othersAccessPermission="edit"/>
    <arrUserId title="区域1_1_19" rangeCreator="" othersAccessPermission="edit"/>
    <arrUserId title="区域1_1_1_1_22" rangeCreator="" othersAccessPermission="edit"/>
    <arrUserId title="区域1_1_1_19" rangeCreator="" othersAccessPermission="edit"/>
    <arrUserId title="区域1_1_1_2_23" rangeCreator="" othersAccessPermission="edit"/>
    <arrUserId title="区域1_7_7" rangeCreator="" othersAccessPermission="edit"/>
    <arrUserId title="区域1_1_9" rangeCreator="" othersAccessPermission="edit"/>
    <arrUserId title="区域1_1_1_1_23" rangeCreator="" othersAccessPermission="edit"/>
    <arrUserId title="区域1_1_1_9" rangeCreator="" othersAccessPermission="edit"/>
    <arrUserId title="区域1_1_1_2_24" rangeCreator="" othersAccessPermission="edit"/>
    <arrUserId title="区域1_1_6" rangeCreator="" othersAccessPermission="edit"/>
    <arrUserId title="区域1_1_1_1_24" rangeCreator="" othersAccessPermission="edit"/>
    <arrUserId title="区域1_1_1_6" rangeCreator="" othersAccessPermission="edit"/>
    <arrUserId title="区域1_1_1_2_25" rangeCreator="" othersAccessPermission="edit"/>
    <arrUserId title="区域1_7_3" rangeCreator="" othersAccessPermission="edit"/>
    <arrUserId title="区域1_1_11" rangeCreator="" othersAccessPermission="edit"/>
    <arrUserId title="区域1_1_1_1_25" rangeCreator="" othersAccessPermission="edit"/>
    <arrUserId title="区域1_1_1_11" rangeCreator="" othersAccessPermission="edit"/>
    <arrUserId title="区域1_1_1_2_26" rangeCreator="" othersAccessPermission="edit"/>
    <arrUserId title="区域1_1_12" rangeCreator="" othersAccessPermission="edit"/>
    <arrUserId title="区域1_1_1_1_26" rangeCreator="" othersAccessPermission="edit"/>
    <arrUserId title="区域1_1_1_12" rangeCreator="" othersAccessPermission="edit"/>
    <arrUserId title="区域1_1_1_2_27" rangeCreator="" othersAccessPermission="edit"/>
    <arrUserId title="区域1_1_17" rangeCreator="" othersAccessPermission="edit"/>
    <arrUserId title="区域1_1_1_1_27" rangeCreator="" othersAccessPermission="edit"/>
    <arrUserId title="区域1_1_1_17" rangeCreator="" othersAccessPermission="edit"/>
    <arrUserId title="区域1_1_1_2_28" rangeCreator="" othersAccessPermission="edit"/>
    <arrUserId title="区域1_1_14" rangeCreator="" othersAccessPermission="edit"/>
    <arrUserId title="区域1_1_1_1_28" rangeCreator="" othersAccessPermission="edit"/>
    <arrUserId title="区域1_1_1_14" rangeCreator="" othersAccessPermission="edit"/>
    <arrUserId title="区域1_1_1_2_29" rangeCreator="" othersAccessPermission="edit"/>
    <arrUserId title="区域1_7_5" rangeCreator="" othersAccessPermission="edit"/>
    <arrUserId title="区域1_1_18" rangeCreator="" othersAccessPermission="edit"/>
    <arrUserId title="区域1_1_1_1_29" rangeCreator="" othersAccessPermission="edit"/>
    <arrUserId title="区域1_1_1_18" rangeCreator="" othersAccessPermission="edit"/>
    <arrUserId title="区域1_1_1_2_30" rangeCreator="" othersAccessPermission="edit"/>
    <arrUserId title="区域1_7_8" rangeCreator="" othersAccessPermission="edit"/>
    <arrUserId title="区域1_1_13" rangeCreator="" othersAccessPermission="edit"/>
    <arrUserId title="区域1_1_1_1_30" rangeCreator="" othersAccessPermission="edit"/>
    <arrUserId title="区域1_1_1_13" rangeCreator="" othersAccessPermission="edit"/>
    <arrUserId title="区域1_1_1_2_31" rangeCreator="" othersAccessPermission="edit"/>
  </rangeList>
  <rangeList sheetStid="4" master="">
    <arrUserId title="区域1_3_1_1_2_1" rangeCreator="" othersAccessPermission="edit"/>
    <arrUserId title="区域1_3_1_1_1" rangeCreator="" othersAccessPermission="edit"/>
    <arrUserId title="区域1_3_1_2" rangeCreator="" othersAccessPermission="edit"/>
    <arrUserId title="区域1_3_1_1_3_1" rangeCreator="" othersAccessPermission="edit"/>
    <arrUserId title="区域1_8_2_1_1" rangeCreator="" othersAccessPermission="edit"/>
    <arrUserId title="区域1_4" rangeCreator="" othersAccessPermission="edit"/>
    <arrUserId title="区域1_3_2" rangeCreator="" othersAccessPermission="edit"/>
    <arrUserId title="区域1_1" rangeCreator="" othersAccessPermission="edit"/>
    <arrUserId title="区域1_8_1_2" rangeCreator="" othersAccessPermission="edit"/>
    <arrUserId title="区域1" rangeCreator="" othersAccessPermission="edit"/>
    <arrUserId title="区域1_3_1_1_1_2" rangeCreator="" othersAccessPermission="edit"/>
    <arrUserId title="区域1_2" rangeCreator="" othersAccessPermission="edit"/>
    <arrUserId title="区域1_1_1_3" rangeCreator="" othersAccessPermission="edit"/>
    <arrUserId title="区域1_2_1_1" rangeCreator="" othersAccessPermission="edit"/>
    <arrUserId title="区域1_4_2" rangeCreator="" othersAccessPermission="edit"/>
    <arrUserId title="区域1_11" rangeCreator="" othersAccessPermission="edit"/>
    <arrUserId title="区域1_13" rangeCreator="" othersAccessPermission="edit"/>
    <arrUserId title="区域1_17" rangeCreator="" othersAccessPermission="edit"/>
    <arrUserId title="区域1_3_1_1_2_1_1" rangeCreator="" othersAccessPermission="edit"/>
    <arrUserId title="区域1_3_1_1_1_1" rangeCreator="" othersAccessPermission="edit"/>
    <arrUserId title="区域1_3_1_2_1" rangeCreator="" othersAccessPermission="edit"/>
    <arrUserId title="区域1_3_1_1_3_1_2" rangeCreator="" othersAccessPermission="edit"/>
    <arrUserId title="区域1_8_2_1_1_1" rangeCreator="" othersAccessPermission="edit"/>
    <arrUserId title="区域1_4_1" rangeCreator="" othersAccessPermission="edit"/>
    <arrUserId title="区域1_3_2_3" rangeCreator="" othersAccessPermission="edit"/>
    <arrUserId title="区域1_1_2" rangeCreator="" othersAccessPermission="edit"/>
    <arrUserId title="区域1_8_1_2_1" rangeCreator="" othersAccessPermission="edit"/>
    <arrUserId title="区域1_5" rangeCreator="" othersAccessPermission="edit"/>
    <arrUserId title="区域1_3_1_1_1_2_1" rangeCreator="" othersAccessPermission="edit"/>
    <arrUserId title="区域1_2_1" rangeCreator="" othersAccessPermission="edit"/>
    <arrUserId title="区域1_1_1_3_1" rangeCreator="" othersAccessPermission="edit"/>
    <arrUserId title="区域1_2_1_1_1" rangeCreator="" othersAccessPermission="edit"/>
    <arrUserId title="区域1_4_2_1" rangeCreator="" othersAccessPermission="edit"/>
    <arrUserId title="区域1_11_1" rangeCreator="" othersAccessPermission="edit"/>
    <arrUserId title="区域1_13_1" rangeCreator="" othersAccessPermission="edit"/>
    <arrUserId title="区域1_17_1" rangeCreator="" othersAccessPermission="edit"/>
    <arrUserId title="区域1_1_1_4_1" rangeCreator="" othersAccessPermission="edit"/>
    <arrUserId title="区域1_4_1_1" rangeCreator="" othersAccessPermission="edit"/>
    <arrUserId title="区域1_8_2_1" rangeCreator="" othersAccessPermission="edit"/>
    <arrUserId title="区域1_3_2_3_1" rangeCreator="" othersAccessPermission="edit"/>
    <arrUserId title="区域1_3_2_1_2_1" rangeCreator="" othersAccessPermission="edit"/>
    <arrUserId title="区域1_1_3" rangeCreator="" othersAccessPermission="edit"/>
    <arrUserId title="区域1_1_1_1_1_1" rangeCreator="" othersAccessPermission="edit"/>
    <arrUserId title="区域1_8_1_2_1_1" rangeCreator="" othersAccessPermission="edit"/>
    <arrUserId title="区域1_6_1" rangeCreator="" othersAccessPermission="edit"/>
    <arrUserId title="区域1_5_2" rangeCreator="" othersAccessPermission="edit"/>
    <arrUserId title="区域1_5_1_1_1" rangeCreator="" othersAccessPermission="edit"/>
    <arrUserId title="区域1_3_1_1_1_3" rangeCreator="" othersAccessPermission="edit"/>
    <arrUserId title="区域1_8_1_4" rangeCreator="" othersAccessPermission="edit"/>
    <arrUserId title="区域1_2_1_3" rangeCreator="" othersAccessPermission="edit"/>
    <arrUserId title="区域1_8_1_3_2_1" rangeCreator="" othersAccessPermission="edit"/>
    <arrUserId title="区域1_1_1_3_1_1" rangeCreator="" othersAccessPermission="edit"/>
    <arrUserId title="区域1_3_1_1_3_1_2_1" rangeCreator="" othersAccessPermission="edit"/>
    <arrUserId title="区域1_2_1_3_1" rangeCreator="" othersAccessPermission="edit"/>
    <arrUserId title="区域1_7_1_1_1" rangeCreator="" othersAccessPermission="edit"/>
    <arrUserId title="区域1_4_2_1_1" rangeCreator="" othersAccessPermission="edit"/>
    <arrUserId title="区域1_9_1_1" rangeCreator="" othersAccessPermission="edit"/>
    <arrUserId title="区域1_3_3_1" rangeCreator="" othersAccessPermission="edit"/>
    <arrUserId title="区域1_6_2" rangeCreator="" othersAccessPermission="edit"/>
    <arrUserId title="区域1_14" rangeCreator="" othersAccessPermission="edit"/>
    <arrUserId title="区域1_16" rangeCreator="" othersAccessPermission="edit"/>
    <arrUserId title="区域1_18" rangeCreator="" othersAccessPermission="edit"/>
    <arrUserId title="区域1_1_1_2_2" rangeCreator="" othersAccessPermission="edit"/>
    <arrUserId title="区域1_1_1_1_3" rangeCreator="" othersAccessPermission="edit"/>
    <arrUserId title="区域1_1_1_2_3" rangeCreator="" othersAccessPermission="edit"/>
    <arrUserId title="区域1_1_5" rangeCreator="" othersAccessPermission="edit"/>
    <arrUserId title="区域1_1_1_5" rangeCreator="" othersAccessPermission="edit"/>
    <arrUserId title="区域1_1_6" rangeCreator="" othersAccessPermission="edit"/>
    <arrUserId title="区域1_1_1_6" rangeCreator="" othersAccessPermission="edit"/>
    <arrUserId title="区域1_7_3" rangeCreator="" othersAccessPermission="edit"/>
    <arrUserId title="区域1_1_1_1_6" rangeCreator="" othersAccessPermission="edit"/>
    <arrUserId title="区域1_1_1_2_6" rangeCreator="" othersAccessPermission="edit"/>
    <arrUserId title="区域1_1_1_1_7" rangeCreator="" othersAccessPermission="edit"/>
    <arrUserId title="区域1_1_1_2_7" rangeCreator="" othersAccessPermission="edit"/>
    <arrUserId title="区域1_1_9" rangeCreator="" othersAccessPermission="edit"/>
    <arrUserId title="区域1_1_1_9" rangeCreator="" othersAccessPermission="edit"/>
    <arrUserId title="区域1_1_10" rangeCreator="" othersAccessPermission="edit"/>
    <arrUserId title="区域1_1_1_10" rangeCreator="" othersAccessPermission="edit"/>
    <arrUserId title="区域1_1_11" rangeCreator="" othersAccessPermission="edit"/>
    <arrUserId title="区域1_1_1_11" rangeCreator="" othersAccessPermission="edit"/>
    <arrUserId title="区域1_1_12" rangeCreator="" othersAccessPermission="edit"/>
    <arrUserId title="区域1_1_1_12" rangeCreator="" othersAccessPermission="edit"/>
    <arrUserId title="区域1_1_13" rangeCreator="" othersAccessPermission="edit"/>
    <arrUserId title="区域1_1_1_13" rangeCreator="" othersAccessPermission="edit"/>
    <arrUserId title="区域1_1_14" rangeCreator="" othersAccessPermission="edit"/>
    <arrUserId title="区域1_1_1_14" rangeCreator="" othersAccessPermission="edit"/>
    <arrUserId title="区域1_7_5" rangeCreator="" othersAccessPermission="edit"/>
    <arrUserId title="区域1_1_1_1_14" rangeCreator="" othersAccessPermission="edit"/>
    <arrUserId title="区域1_1_1_2_14" rangeCreator="" othersAccessPermission="edit"/>
    <arrUserId title="区域1_1_16" rangeCreator="" othersAccessPermission="edit"/>
    <arrUserId title="区域1_1_1_16" rangeCreator="" othersAccessPermission="edit"/>
    <arrUserId title="区域1_1_17" rangeCreator="" othersAccessPermission="edit"/>
    <arrUserId title="区域1_1_1_17" rangeCreator="" othersAccessPermission="edit"/>
    <arrUserId title="区域1_1_18" rangeCreator="" othersAccessPermission="edit"/>
    <arrUserId title="区域1_1_1_18" rangeCreator="" othersAccessPermission="edit"/>
    <arrUserId title="区域1_1_19" rangeCreator="" othersAccessPermission="edit"/>
    <arrUserId title="区域1_1_1_19" rangeCreator="" othersAccessPermission="edit"/>
    <arrUserId title="区域1_3" rangeCreator="" othersAccessPermission="edit"/>
    <arrUserId title="区域1_3_1_1_2_1_2" rangeCreator="" othersAccessPermission="edit"/>
    <arrUserId title="区域1_1_1_2" rangeCreator="" othersAccessPermission="edit"/>
    <arrUserId title="区域1_3_1_1_1_4" rangeCreator="" othersAccessPermission="edit"/>
    <arrUserId title="区域1_8_1" rangeCreator="" othersAccessPermission="edit"/>
    <arrUserId title="区域1_3_1_2_2" rangeCreator="" othersAccessPermission="edit"/>
    <arrUserId title="区域1_3_2_2" rangeCreator="" othersAccessPermission="edit"/>
    <arrUserId title="区域1_3_1_1_3_1_1" rangeCreator="" othersAccessPermission="edit"/>
    <arrUserId title="区域1_3_2_1_1" rangeCreator="" othersAccessPermission="edit"/>
    <arrUserId title="区域1_8_2_1_1_2" rangeCreator="" othersAccessPermission="edit"/>
    <arrUserId title="区域1_1_1" rangeCreator="" othersAccessPermission="edit"/>
    <arrUserId title="区域1_4_3" rangeCreator="" othersAccessPermission="edit"/>
    <arrUserId title="区域1_8" rangeCreator="" othersAccessPermission="edit"/>
    <arrUserId title="区域1_3_2_1" rangeCreator="" othersAccessPermission="edit"/>
    <arrUserId title="区域1_3_2_1_2" rangeCreator="" othersAccessPermission="edit"/>
    <arrUserId title="区域1_1_4" rangeCreator="" othersAccessPermission="edit"/>
    <arrUserId title="区域1_1_1_1" rangeCreator="" othersAccessPermission="edit"/>
    <arrUserId title="区域1_8_1_2_2" rangeCreator="" othersAccessPermission="edit"/>
    <arrUserId title="区域1_6_1_1" rangeCreator="" othersAccessPermission="edit"/>
    <arrUserId title="区域1_6" rangeCreator="" othersAccessPermission="edit"/>
    <arrUserId title="区域1_5_1" rangeCreator="" othersAccessPermission="edit"/>
    <arrUserId title="区域1_3_1_1_1_2_2" rangeCreator="" othersAccessPermission="edit"/>
    <arrUserId title="区域1_8_1_3" rangeCreator="" othersAccessPermission="edit"/>
    <arrUserId title="区域1_2_2" rangeCreator="" othersAccessPermission="edit"/>
    <arrUserId title="区域1_8_1_3_1" rangeCreator="" othersAccessPermission="edit"/>
    <arrUserId title="区域1_1_1_3_2" rangeCreator="" othersAccessPermission="edit"/>
    <arrUserId title="区域1_3_1_1_3_1_1_1" rangeCreator="" othersAccessPermission="edit"/>
    <arrUserId title="区域1_2_1_1_2" rangeCreator="" othersAccessPermission="edit"/>
    <arrUserId title="区域1_7_1" rangeCreator="" othersAccessPermission="edit"/>
    <arrUserId title="区域1_4_2_2" rangeCreator="" othersAccessPermission="edit"/>
    <arrUserId title="区域1_9" rangeCreator="" othersAccessPermission="edit"/>
    <arrUserId title="区域1_11_2" rangeCreator="" othersAccessPermission="edit"/>
    <arrUserId title="区域1_12" rangeCreator="" othersAccessPermission="edit"/>
    <arrUserId title="区域1_13_2" rangeCreator="" othersAccessPermission="edit"/>
    <arrUserId title="区域1_15" rangeCreator="" othersAccessPermission="edit"/>
    <arrUserId title="区域1_17_2" rangeCreator="" othersAccessPermission="edit"/>
    <arrUserId title="区域1_1_2_1" rangeCreator="" othersAccessPermission="edit"/>
    <arrUserId title="区域1_1_1_4" rangeCreator="" othersAccessPermission="edit"/>
    <arrUserId title="区域1_8_1_1" rangeCreator="" othersAccessPermission="edit"/>
    <arrUserId title="区域1_4_1_2" rangeCreator="" othersAccessPermission="edit"/>
    <arrUserId title="区域1_3_1_1" rangeCreator="" othersAccessPermission="edit"/>
    <arrUserId title="区域1_8_2" rangeCreator="" othersAccessPermission="edit"/>
    <arrUserId title="区域1_3_1" rangeCreator="" othersAccessPermission="edit"/>
    <arrUserId title="区域1_3_2_3_2" rangeCreator="" othersAccessPermission="edit"/>
    <arrUserId title="区域1_3_1_1_3" rangeCreator="" othersAccessPermission="edit"/>
    <arrUserId title="区域1_3_2_1_2_2" rangeCreator="" othersAccessPermission="edit"/>
    <arrUserId title="区域1_8_2_1_2" rangeCreator="" othersAccessPermission="edit"/>
    <arrUserId title="区域1_1_3_1" rangeCreator="" othersAccessPermission="edit"/>
    <arrUserId title="区域1_6_3" rangeCreator="" othersAccessPermission="edit"/>
    <arrUserId title="区域1_1_1_1_1" rangeCreator="" othersAccessPermission="edit"/>
    <arrUserId title="区域1_3_1_1_1_1_1" rangeCreator="" othersAccessPermission="edit"/>
    <arrUserId title="区域1_8_1_2_1_2" rangeCreator="" othersAccessPermission="edit"/>
    <arrUserId title="区域1_1_1_2_1" rangeCreator="" othersAccessPermission="edit"/>
    <arrUserId title="区域1_6_1_2" rangeCreator="" othersAccessPermission="edit"/>
    <arrUserId title="区域1_4_1_1_1" rangeCreator="" othersAccessPermission="edit"/>
    <arrUserId title="区域1_5_3" rangeCreator="" othersAccessPermission="edit"/>
    <arrUserId title="区域1_2_1_2" rangeCreator="" othersAccessPermission="edit"/>
    <arrUserId title="区域1_5_1_1" rangeCreator="" othersAccessPermission="edit"/>
    <arrUserId title="区域1_7" rangeCreator="" othersAccessPermission="edit"/>
    <arrUserId title="区域1_3_1_1_1_3_1" rangeCreator="" othersAccessPermission="edit"/>
    <arrUserId title="区域1_1_3_1_1" rangeCreator="" othersAccessPermission="edit"/>
    <arrUserId title="区域1_8_1_4_1" rangeCreator="" othersAccessPermission="edit"/>
    <arrUserId title="区域1_1_1_1_1_1_1" rangeCreator="" othersAccessPermission="edit"/>
    <arrUserId title="区域1_2_1_4" rangeCreator="" othersAccessPermission="edit"/>
    <arrUserId title="区域1_3_1_1_1_2_1_1" rangeCreator="" othersAccessPermission="edit"/>
    <arrUserId title="区域1_8_1_3_2" rangeCreator="" othersAccessPermission="edit"/>
    <arrUserId title="区域1_3_1_1_2" rangeCreator="" othersAccessPermission="edit"/>
    <arrUserId title="区域1_1_1_3_1_2" rangeCreator="" othersAccessPermission="edit"/>
    <arrUserId title="区域1_8_2_2" rangeCreator="" othersAccessPermission="edit"/>
    <arrUserId title="区域1_3_1_1_3_1_2_2" rangeCreator="" othersAccessPermission="edit"/>
    <arrUserId title="区域1_1_1_2_1_1" rangeCreator="" othersAccessPermission="edit"/>
    <arrUserId title="区域1_2_1_3_2" rangeCreator="" othersAccessPermission="edit"/>
    <arrUserId title="区域1_5_2_1" rangeCreator="" othersAccessPermission="edit"/>
    <arrUserId title="区域1_7_1_1" rangeCreator="" othersAccessPermission="edit"/>
    <arrUserId title="区域1_8_2_1_1_1_1" rangeCreator="" othersAccessPermission="edit"/>
    <arrUserId title="区域1_4_2_1_2" rangeCreator="" othersAccessPermission="edit"/>
    <arrUserId title="区域1_3_3" rangeCreator="" othersAccessPermission="edit"/>
    <arrUserId title="区域1_9_1" rangeCreator="" othersAccessPermission="edit"/>
    <arrUserId title="区域1_10" rangeCreator="" othersAccessPermission="edit"/>
    <arrUserId title="区域1_3_3_1_1" rangeCreator="" othersAccessPermission="edit"/>
    <arrUserId title="区域1_12_1" rangeCreator="" othersAccessPermission="edit"/>
    <arrUserId title="区域1_6_2_1" rangeCreator="" othersAccessPermission="edit"/>
    <arrUserId title="区域1_13_1_1" rangeCreator="" othersAccessPermission="edit"/>
    <arrUserId title="区域1_14_1" rangeCreator="" othersAccessPermission="edit"/>
    <arrUserId title="区域1_15_1" rangeCreator="" othersAccessPermission="edit"/>
    <arrUserId title="区域1_16_1" rangeCreator="" othersAccessPermission="edit"/>
    <arrUserId title="区域1_17_1_1" rangeCreator="" othersAccessPermission="edit"/>
    <arrUserId title="区域1_18_1" rangeCreator="" othersAccessPermission="edit"/>
    <arrUserId title="区域1_1_1_1_2" rangeCreator="" othersAccessPermission="edit"/>
    <arrUserId title="区域1_1_1_2_2_1" rangeCreator="" othersAccessPermission="edit"/>
    <arrUserId title="区域1_1_4_1" rangeCreator="" othersAccessPermission="edit"/>
    <arrUserId title="区域1_1_1_1_3_1" rangeCreator="" othersAccessPermission="edit"/>
    <arrUserId title="区域1_1_1_4_1_1" rangeCreator="" othersAccessPermission="edit"/>
    <arrUserId title="区域1_1_1_2_3_1" rangeCreator="" othersAccessPermission="edit"/>
    <arrUserId title="区域1_7_2" rangeCreator="" othersAccessPermission="edit"/>
    <arrUserId title="区域1_1_5_1" rangeCreator="" othersAccessPermission="edit"/>
    <arrUserId title="区域1_1_1_1_4" rangeCreator="" othersAccessPermission="edit"/>
    <arrUserId title="区域1_1_1_5_1" rangeCreator="" othersAccessPermission="edit"/>
    <arrUserId title="区域1_1_1_2_4" rangeCreator="" othersAccessPermission="edit"/>
    <arrUserId title="区域1_1_6_1" rangeCreator="" othersAccessPermission="edit"/>
    <arrUserId title="区域1_1_1_1_5" rangeCreator="" othersAccessPermission="edit"/>
    <arrUserId title="区域1_1_1_6_1" rangeCreator="" othersAccessPermission="edit"/>
    <arrUserId title="区域1_1_1_2_5" rangeCreator="" othersAccessPermission="edit"/>
    <arrUserId title="区域1_7_3_1" rangeCreator="" othersAccessPermission="edit"/>
    <arrUserId title="区域1_1_7" rangeCreator="" othersAccessPermission="edit"/>
    <arrUserId title="区域1_1_1_1_6_1" rangeCreator="" othersAccessPermission="edit"/>
    <arrUserId title="区域1_1_1_7" rangeCreator="" othersAccessPermission="edit"/>
    <arrUserId title="区域1_1_1_2_6_1" rangeCreator="" othersAccessPermission="edit"/>
    <arrUserId title="区域1_1_8" rangeCreator="" othersAccessPermission="edit"/>
    <arrUserId title="区域1_1_1_1_7_1" rangeCreator="" othersAccessPermission="edit"/>
    <arrUserId title="区域1_1_1_8" rangeCreator="" othersAccessPermission="edit"/>
    <arrUserId title="区域1_1_1_2_7_1" rangeCreator="" othersAccessPermission="edit"/>
    <arrUserId title="区域1_7_4" rangeCreator="" othersAccessPermission="edit"/>
    <arrUserId title="区域1_1_9_1" rangeCreator="" othersAccessPermission="edit"/>
    <arrUserId title="区域1_1_1_1_8" rangeCreator="" othersAccessPermission="edit"/>
    <arrUserId title="区域1_1_1_9_1" rangeCreator="" othersAccessPermission="edit"/>
    <arrUserId title="区域1_1_1_2_8" rangeCreator="" othersAccessPermission="edit"/>
    <arrUserId title="区域1_1_10_1" rangeCreator="" othersAccessPermission="edit"/>
    <arrUserId title="区域1_1_1_1_9" rangeCreator="" othersAccessPermission="edit"/>
    <arrUserId title="区域1_1_1_10_1" rangeCreator="" othersAccessPermission="edit"/>
    <arrUserId title="区域1_1_1_2_9" rangeCreator="" othersAccessPermission="edit"/>
    <arrUserId title="区域1_1_11_1" rangeCreator="" othersAccessPermission="edit"/>
    <arrUserId title="区域1_1_1_1_10" rangeCreator="" othersAccessPermission="edit"/>
    <arrUserId title="区域1_1_1_11_1" rangeCreator="" othersAccessPermission="edit"/>
    <arrUserId title="区域1_1_1_2_10" rangeCreator="" othersAccessPermission="edit"/>
    <arrUserId title="区域1_1_12_1" rangeCreator="" othersAccessPermission="edit"/>
    <arrUserId title="区域1_1_1_1_11" rangeCreator="" othersAccessPermission="edit"/>
    <arrUserId title="区域1_1_1_12_1" rangeCreator="" othersAccessPermission="edit"/>
    <arrUserId title="区域1_1_1_2_11" rangeCreator="" othersAccessPermission="edit"/>
    <arrUserId title="区域1_1_13_1" rangeCreator="" othersAccessPermission="edit"/>
    <arrUserId title="区域1_1_1_1_12" rangeCreator="" othersAccessPermission="edit"/>
    <arrUserId title="区域1_1_1_13_1" rangeCreator="" othersAccessPermission="edit"/>
    <arrUserId title="区域1_1_1_2_12" rangeCreator="" othersAccessPermission="edit"/>
    <arrUserId title="区域1_1_14_1" rangeCreator="" othersAccessPermission="edit"/>
    <arrUserId title="区域1_1_1_1_13" rangeCreator="" othersAccessPermission="edit"/>
    <arrUserId title="区域1_1_1_14_1" rangeCreator="" othersAccessPermission="edit"/>
    <arrUserId title="区域1_1_1_2_13" rangeCreator="" othersAccessPermission="edit"/>
    <arrUserId title="区域1_7_5_1" rangeCreator="" othersAccessPermission="edit"/>
    <arrUserId title="区域1_1_15" rangeCreator="" othersAccessPermission="edit"/>
    <arrUserId title="区域1_1_1_1_14_1" rangeCreator="" othersAccessPermission="edit"/>
    <arrUserId title="区域1_1_1_15" rangeCreator="" othersAccessPermission="edit"/>
    <arrUserId title="区域1_1_1_2_14_1" rangeCreator="" othersAccessPermission="edit"/>
    <arrUserId title="区域1_7_6" rangeCreator="" othersAccessPermission="edit"/>
    <arrUserId title="区域1_1_16_1" rangeCreator="" othersAccessPermission="edit"/>
    <arrUserId title="区域1_1_1_1_15" rangeCreator="" othersAccessPermission="edit"/>
    <arrUserId title="区域1_1_1_16_1" rangeCreator="" othersAccessPermission="edit"/>
    <arrUserId title="区域1_1_1_2_15" rangeCreator="" othersAccessPermission="edit"/>
    <arrUserId title="区域1_1_17_1" rangeCreator="" othersAccessPermission="edit"/>
    <arrUserId title="区域1_1_1_1_16" rangeCreator="" othersAccessPermission="edit"/>
    <arrUserId title="区域1_1_1_17_1" rangeCreator="" othersAccessPermission="edit"/>
    <arrUserId title="区域1_1_1_2_16" rangeCreator="" othersAccessPermission="edit"/>
    <arrUserId title="区域1_1_18_1" rangeCreator="" othersAccessPermission="edit"/>
    <arrUserId title="区域1_1_1_1_17" rangeCreator="" othersAccessPermission="edit"/>
    <arrUserId title="区域1_1_1_18_1" rangeCreator="" othersAccessPermission="edit"/>
    <arrUserId title="区域1_1_1_2_17" rangeCreator="" othersAccessPermission="edit"/>
    <arrUserId title="区域1_1_19_1" rangeCreator="" othersAccessPermission="edit"/>
    <arrUserId title="区域1_1_1_1_18" rangeCreator="" othersAccessPermission="edit"/>
    <arrUserId title="区域1_1_1_19_1" rangeCreator="" othersAccessPermission="edit"/>
    <arrUserId title="区域1_1_1_2_18" rangeCreator="" othersAccessPermission="edit"/>
  </rangeList>
  <rangeList sheetStid="5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_1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_1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_1" rangeCreator="" othersAccessPermission="edit"/>
    <arrUserId title="区域1_5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_3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" rangeCreator="" othersAccessPermission="edit"/>
    <arrUserId title="区域1_4_1_1_1" rangeCreator="" othersAccessPermission="edit"/>
    <arrUserId title="区域1_5_2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2_2" rangeCreator="" othersAccessPermission="edit"/>
    <arrUserId title="区域1_1_1_1_3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6" rangeCreator="" othersAccessPermission="edit"/>
    <arrUserId title="区域1_1_1_1_5" rangeCreator="" othersAccessPermission="edit"/>
    <arrUserId title="区域1_1_1_6" rangeCreator="" othersAccessPermission="edit"/>
    <arrUserId title="区域1_1_1_2_5" rangeCreator="" othersAccessPermission="edit"/>
    <arrUserId title="区域1_7_3" rangeCreator="" othersAccessPermission="edit"/>
    <arrUserId title="区域1_1_1_1_6" rangeCreator="" othersAccessPermission="edit"/>
    <arrUserId title="区域1_1_1_2_6" rangeCreator="" othersAccessPermission="edit"/>
    <arrUserId title="区域1_1_1_1_7" rangeCreator="" othersAccessPermission="edit"/>
    <arrUserId title="区域1_1_1_2_7" rangeCreator="" othersAccessPermission="edit"/>
    <arrUserId title="区域1_7_4" rangeCreator="" othersAccessPermission="edit"/>
    <arrUserId title="区域1_1_1_1_8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_2_10" rangeCreator="" othersAccessPermission="edit"/>
    <arrUserId title="区域1_1_1_2_11" rangeCreator="" othersAccessPermission="edit"/>
    <arrUserId title="区域1_1_1_1_12" rangeCreator="" othersAccessPermission="edit"/>
    <arrUserId title="区域1_1_1_2_12" rangeCreator="" othersAccessPermission="edit"/>
    <arrUserId title="区域1_1_1_1_13" rangeCreator="" othersAccessPermission="edit"/>
    <arrUserId title="区域1_1_1_2_13" rangeCreator="" othersAccessPermission="edit"/>
    <arrUserId title="区域1_1_15" rangeCreator="" othersAccessPermission="edit"/>
    <arrUserId title="区域1_1_1_1_14" rangeCreator="" othersAccessPermission="edit"/>
    <arrUserId title="区域1_1_1_15" rangeCreator="" othersAccessPermission="edit"/>
    <arrUserId title="区域1_1_1_2_14" rangeCreator="" othersAccessPermission="edit"/>
    <arrUserId title="区域1_7_6" rangeCreator="" othersAccessPermission="edit"/>
    <arrUserId title="区域1_1_1_1_15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_1_17" rangeCreator="" othersAccessPermission="edit"/>
    <arrUserId title="区域1_1_1_2_17" rangeCreator="" othersAccessPermission="edit"/>
    <arrUserId title="区域1_1_19" rangeCreator="" othersAccessPermission="edit"/>
    <arrUserId title="区域1_1_1_1_18" rangeCreator="" othersAccessPermission="edit"/>
    <arrUserId title="区域1_1_1_19" rangeCreator="" othersAccessPermission="edit"/>
    <arrUserId title="区域1_1_1_2_18" rangeCreator="" othersAccessPermission="edit"/>
    <arrUserId title="区域1_1_7" rangeCreator="" othersAccessPermission="edit"/>
    <arrUserId title="区域1_1_1_1_19" rangeCreator="" othersAccessPermission="edit"/>
    <arrUserId title="区域1_1_1_7" rangeCreator="" othersAccessPermission="edit"/>
    <arrUserId title="区域1_1_1_2_19" rangeCreator="" othersAccessPermission="edit"/>
    <arrUserId title="区域1_1_20" rangeCreator="" othersAccessPermission="edit"/>
    <arrUserId title="区域1_1_1_1_20" rangeCreator="" othersAccessPermission="edit"/>
    <arrUserId title="区域1_1_1_20" rangeCreator="" othersAccessPermission="edit"/>
    <arrUserId title="区域1_1_1_2_20" rangeCreator="" othersAccessPermission="edit"/>
    <arrUserId title="区域1_7_7" rangeCreator="" othersAccessPermission="edit"/>
    <arrUserId title="区域1_1_8" rangeCreator="" othersAccessPermission="edit"/>
    <arrUserId title="区域1_1_1_1_21" rangeCreator="" othersAccessPermission="edit"/>
    <arrUserId title="区域1_1_1_8" rangeCreator="" othersAccessPermission="edit"/>
    <arrUserId title="区域1_1_1_2_21" rangeCreator="" othersAccessPermission="edit"/>
    <arrUserId title="区域1_1_9" rangeCreator="" othersAccessPermission="edit"/>
    <arrUserId title="区域1_1_1_1_22" rangeCreator="" othersAccessPermission="edit"/>
    <arrUserId title="区域1_1_1_9" rangeCreator="" othersAccessPermission="edit"/>
    <arrUserId title="区域1_1_1_2_22" rangeCreator="" othersAccessPermission="edit"/>
    <arrUserId title="区域1_1_1_1_23" rangeCreator="" othersAccessPermission="edit"/>
    <arrUserId title="区域1_1_1_2_23" rangeCreator="" othersAccessPermission="edit"/>
    <arrUserId title="区域1_1_1_1_24" rangeCreator="" othersAccessPermission="edit"/>
    <arrUserId title="区域1_1_1_2_24" rangeCreator="" othersAccessPermission="edit"/>
    <arrUserId title="区域1_1_4" rangeCreator="" othersAccessPermission="edit"/>
    <arrUserId title="区域1_1_1_1_2" rangeCreator="" othersAccessPermission="edit"/>
    <arrUserId title="区域1_1_1_21" rangeCreator="" othersAccessPermission="edit"/>
    <arrUserId title="区域1_1_1_2_25" rangeCreator="" othersAccessPermission="edit"/>
    <arrUserId title="区域1_1_16" rangeCreator="" othersAccessPermission="edit"/>
    <arrUserId title="区域1_1_1_1_25" rangeCreator="" othersAccessPermission="edit"/>
    <arrUserId title="区域1_1_1_16" rangeCreator="" othersAccessPermission="edit"/>
    <arrUserId title="区域1_1_1_2_26" rangeCreator="" othersAccessPermission="edit"/>
    <arrUserId title="区域1_1_13" rangeCreator="" othersAccessPermission="edit"/>
    <arrUserId title="区域1_1_1_1_26" rangeCreator="" othersAccessPermission="edit"/>
    <arrUserId title="区域1_1_1_13" rangeCreator="" othersAccessPermission="edit"/>
    <arrUserId title="区域1_1_1_2_27" rangeCreator="" othersAccessPermission="edit"/>
    <arrUserId title="区域1_1_18" rangeCreator="" othersAccessPermission="edit"/>
    <arrUserId title="区域1_1_1_1_27" rangeCreator="" othersAccessPermission="edit"/>
    <arrUserId title="区域1_1_1_18" rangeCreator="" othersAccessPermission="edit"/>
    <arrUserId title="区域1_1_1_2_28" rangeCreator="" othersAccessPermission="edit"/>
    <arrUserId title="区域1_1_21" rangeCreator="" othersAccessPermission="edit"/>
    <arrUserId title="区域1_1_1_1_28" rangeCreator="" othersAccessPermission="edit"/>
    <arrUserId title="区域1_1_1_22" rangeCreator="" othersAccessPermission="edit"/>
    <arrUserId title="区域1_1_1_2_29" rangeCreator="" othersAccessPermission="edit"/>
    <arrUserId title="区域1_1_14" rangeCreator="" othersAccessPermission="edit"/>
    <arrUserId title="区域1_1_1_1_29" rangeCreator="" othersAccessPermission="edit"/>
    <arrUserId title="区域1_1_1_14" rangeCreator="" othersAccessPermission="edit"/>
    <arrUserId title="区域1_1_1_2_30" rangeCreator="" othersAccessPermission="edit"/>
    <arrUserId title="区域1_7_5" rangeCreator="" othersAccessPermission="edit"/>
    <arrUserId title="区域1_1_12" rangeCreator="" othersAccessPermission="edit"/>
    <arrUserId title="区域1_1_1_1_11" rangeCreator="" othersAccessPermission="edit"/>
    <arrUserId title="区域1_1_1_12" rangeCreator="" othersAccessPermission="edit"/>
    <arrUserId title="区域1_1_1_2_31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32" rangeCreator="" othersAccessPermission="edit"/>
  </rangeList>
  <rangeList sheetStid="6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_1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_1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_1" rangeCreator="" othersAccessPermission="edit"/>
    <arrUserId title="区域1_5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_3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" rangeCreator="" othersAccessPermission="edit"/>
    <arrUserId title="区域1_4_1_1_1" rangeCreator="" othersAccessPermission="edit"/>
    <arrUserId title="区域1_5_2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2_2" rangeCreator="" othersAccessPermission="edit"/>
    <arrUserId title="区域1_1_1_1_3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1_1_5" rangeCreator="" othersAccessPermission="edit"/>
    <arrUserId title="区域1_1_1_2_5" rangeCreator="" othersAccessPermission="edit"/>
    <arrUserId title="区域1_1_1_1_6" rangeCreator="" othersAccessPermission="edit"/>
    <arrUserId title="区域1_1_1_2_6" rangeCreator="" othersAccessPermission="edit"/>
    <arrUserId title="区域1_1_1_1_7" rangeCreator="" othersAccessPermission="edit"/>
    <arrUserId title="区域1_1_1_2_7" rangeCreator="" othersAccessPermission="edit"/>
    <arrUserId title="区域1_7_4" rangeCreator="" othersAccessPermission="edit"/>
    <arrUserId title="区域1_1_1_1_8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_1_10" rangeCreator="" othersAccessPermission="edit"/>
    <arrUserId title="区域1_1_1_2_10" rangeCreator="" othersAccessPermission="edit"/>
    <arrUserId title="区域1_1_1_1_11" rangeCreator="" othersAccessPermission="edit"/>
    <arrUserId title="区域1_1_1_2_11" rangeCreator="" othersAccessPermission="edit"/>
    <arrUserId title="区域1_1_13" rangeCreator="" othersAccessPermission="edit"/>
    <arrUserId title="区域1_1_1_1_12" rangeCreator="" othersAccessPermission="edit"/>
    <arrUserId title="区域1_1_1_13" rangeCreator="" othersAccessPermission="edit"/>
    <arrUserId title="区域1_1_1_2_12" rangeCreator="" othersAccessPermission="edit"/>
    <arrUserId title="区域1_1_1_1_13" rangeCreator="" othersAccessPermission="edit"/>
    <arrUserId title="区域1_1_1_2_13" rangeCreator="" othersAccessPermission="edit"/>
    <arrUserId title="区域1_1_1_1_14" rangeCreator="" othersAccessPermission="edit"/>
    <arrUserId title="区域1_1_1_2_14" rangeCreator="" othersAccessPermission="edit"/>
    <arrUserId title="区域1_1_1_1_15" rangeCreator="" othersAccessPermission="edit"/>
    <arrUserId title="区域1_1_1_2_15" rangeCreator="" othersAccessPermission="edit"/>
    <arrUserId title="区域1_1_1_1_16" rangeCreator="" othersAccessPermission="edit"/>
    <arrUserId title="区域1_1_1_2_16" rangeCreator="" othersAccessPermission="edit"/>
    <arrUserId title="区域1_1_18" rangeCreator="" othersAccessPermission="edit"/>
    <arrUserId title="区域1_1_1_1_17" rangeCreator="" othersAccessPermission="edit"/>
    <arrUserId title="区域1_1_1_18" rangeCreator="" othersAccessPermission="edit"/>
    <arrUserId title="区域1_1_1_2_17" rangeCreator="" othersAccessPermission="edit"/>
    <arrUserId title="区域1_1_1_1_18" rangeCreator="" othersAccessPermission="edit"/>
    <arrUserId title="区域1_1_1_2_18" rangeCreator="" othersAccessPermission="edit"/>
    <arrUserId title="区域1_1_7" rangeCreator="" othersAccessPermission="edit"/>
    <arrUserId title="区域1_1_1_1_19" rangeCreator="" othersAccessPermission="edit"/>
    <arrUserId title="区域1_1_1_7" rangeCreator="" othersAccessPermission="edit"/>
    <arrUserId title="区域1_1_1_2_19" rangeCreator="" othersAccessPermission="edit"/>
    <arrUserId title="区域1_1_17" rangeCreator="" othersAccessPermission="edit"/>
    <arrUserId title="区域1_1_1_1_20" rangeCreator="" othersAccessPermission="edit"/>
    <arrUserId title="区域1_1_1_17" rangeCreator="" othersAccessPermission="edit"/>
    <arrUserId title="区域1_1_1_2_20" rangeCreator="" othersAccessPermission="edit"/>
    <arrUserId title="区域1_1_11" rangeCreator="" othersAccessPermission="edit"/>
    <arrUserId title="区域1_1_1_1_21" rangeCreator="" othersAccessPermission="edit"/>
    <arrUserId title="区域1_1_1_11" rangeCreator="" othersAccessPermission="edit"/>
    <arrUserId title="区域1_1_1_2_21" rangeCreator="" othersAccessPermission="edit"/>
    <arrUserId title="区域1_1_12" rangeCreator="" othersAccessPermission="edit"/>
    <arrUserId title="区域1_1_1_1_22" rangeCreator="" othersAccessPermission="edit"/>
    <arrUserId title="区域1_1_1_12" rangeCreator="" othersAccessPermission="edit"/>
    <arrUserId title="区域1_1_1_2_22" rangeCreator="" othersAccessPermission="edit"/>
    <arrUserId title="区域1_1_9" rangeCreator="" othersAccessPermission="edit"/>
    <arrUserId title="区域1_1_1_1_23" rangeCreator="" othersAccessPermission="edit"/>
    <arrUserId title="区域1_1_1_9" rangeCreator="" othersAccessPermission="edit"/>
    <arrUserId title="区域1_1_1_2_23" rangeCreator="" othersAccessPermission="edit"/>
    <arrUserId title="区域1_1_8" rangeCreator="" othersAccessPermission="edit"/>
    <arrUserId title="区域1_1_1_1_24" rangeCreator="" othersAccessPermission="edit"/>
    <arrUserId title="区域1_1_1_8" rangeCreator="" othersAccessPermission="edit"/>
    <arrUserId title="区域1_1_1_2_24" rangeCreator="" othersAccessPermission="edit"/>
    <arrUserId title="区域1_1_16" rangeCreator="" othersAccessPermission="edit"/>
    <arrUserId title="区域1_1_1_1_25" rangeCreator="" othersAccessPermission="edit"/>
    <arrUserId title="区域1_1_1_16" rangeCreator="" othersAccessPermission="edit"/>
    <arrUserId title="区域1_1_1_2_25" rangeCreator="" othersAccessPermission="edit"/>
    <arrUserId title="区域1_1_6" rangeCreator="" othersAccessPermission="edit"/>
    <arrUserId title="区域1_1_1_1_26" rangeCreator="" othersAccessPermission="edit"/>
    <arrUserId title="区域1_1_1_6" rangeCreator="" othersAccessPermission="edit"/>
    <arrUserId title="区域1_1_1_2_26" rangeCreator="" othersAccessPermission="edit"/>
    <arrUserId title="区域1_7_3" rangeCreator="" othersAccessPermission="edit"/>
    <arrUserId title="区域1_1_19" rangeCreator="" othersAccessPermission="edit"/>
    <arrUserId title="区域1_1_1_1_27" rangeCreator="" othersAccessPermission="edit"/>
    <arrUserId title="区域1_1_1_19" rangeCreator="" othersAccessPermission="edit"/>
    <arrUserId title="区域1_1_1_2_27" rangeCreator="" othersAccessPermission="edit"/>
    <arrUserId title="区域1_1_14" rangeCreator="" othersAccessPermission="edit"/>
    <arrUserId title="区域1_1_1_1_28" rangeCreator="" othersAccessPermission="edit"/>
    <arrUserId title="区域1_1_1_14" rangeCreator="" othersAccessPermission="edit"/>
    <arrUserId title="区域1_1_1_2_28" rangeCreator="" othersAccessPermission="edit"/>
    <arrUserId title="区域1_7_5" rangeCreator="" othersAccessPermission="edit"/>
    <arrUserId title="区域1_1_4" rangeCreator="" othersAccessPermission="edit"/>
    <arrUserId title="区域1_1_1_1_2" rangeCreator="" othersAccessPermission="edit"/>
    <arrUserId title="区域1_1_1_20" rangeCreator="" othersAccessPermission="edit"/>
    <arrUserId title="区域1_1_1_2_29" rangeCreator="" othersAccessPermission="edit"/>
    <arrUserId title="区域1_1_20" rangeCreator="" othersAccessPermission="edit"/>
    <arrUserId title="区域1_1_1_1_29" rangeCreator="" othersAccessPermission="edit"/>
    <arrUserId title="区域1_1_1_21" rangeCreator="" othersAccessPermission="edit"/>
    <arrUserId title="区域1_1_1_2_30" rangeCreator="" othersAccessPermission="edit"/>
    <arrUserId title="区域1_7_7" rangeCreator="" othersAccessPermission="edit"/>
    <arrUserId title="区域1_1_15" rangeCreator="" othersAccessPermission="edit"/>
    <arrUserId title="区域1_1_1_1_30" rangeCreator="" othersAccessPermission="edit"/>
    <arrUserId title="区域1_1_1_15" rangeCreator="" othersAccessPermission="edit"/>
    <arrUserId title="区域1_1_1_2_31" rangeCreator="" othersAccessPermission="edit"/>
    <arrUserId title="区域1_7_6" rangeCreator="" othersAccessPermission="edit"/>
  </rangeList>
  <rangeList sheetStid="7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_1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_1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_1" rangeCreator="" othersAccessPermission="edit"/>
    <arrUserId title="区域1_5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_3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" rangeCreator="" othersAccessPermission="edit"/>
    <arrUserId title="区域1_4_1_1_1" rangeCreator="" othersAccessPermission="edit"/>
    <arrUserId title="区域1_5_2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1_2" rangeCreator="" othersAccessPermission="edit"/>
    <arrUserId title="区域1_1_1_2_2" rangeCreator="" othersAccessPermission="edit"/>
    <arrUserId title="区域1_1_4" rangeCreator="" othersAccessPermission="edit"/>
    <arrUserId title="区域1_1_1_1_3" rangeCreator="" othersAccessPermission="edit"/>
    <arrUserId title="区域1_1_1_4_1_1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1_1_5" rangeCreator="" othersAccessPermission="edit"/>
    <arrUserId title="区域1_1_1_2_5" rangeCreator="" othersAccessPermission="edit"/>
    <arrUserId title="区域1_1_1_1_6" rangeCreator="" othersAccessPermission="edit"/>
    <arrUserId title="区域1_1_1_2_6" rangeCreator="" othersAccessPermission="edit"/>
    <arrUserId title="区域1_1_8" rangeCreator="" othersAccessPermission="edit"/>
    <arrUserId title="区域1_1_1_1_7" rangeCreator="" othersAccessPermission="edit"/>
    <arrUserId title="区域1_1_1_8" rangeCreator="" othersAccessPermission="edit"/>
    <arrUserId title="区域1_1_1_2_7" rangeCreator="" othersAccessPermission="edit"/>
    <arrUserId title="区域1_7_4" rangeCreator="" othersAccessPermission="edit"/>
    <arrUserId title="区域1_1_1_1_8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10" rangeCreator="" othersAccessPermission="edit"/>
    <arrUserId title="区域1_1_12" rangeCreator="" othersAccessPermission="edit"/>
    <arrUserId title="区域1_1_1_1_11" rangeCreator="" othersAccessPermission="edit"/>
    <arrUserId title="区域1_1_1_12" rangeCreator="" othersAccessPermission="edit"/>
    <arrUserId title="区域1_1_1_2_11" rangeCreator="" othersAccessPermission="edit"/>
    <arrUserId title="区域1_1_1_1_12" rangeCreator="" othersAccessPermission="edit"/>
    <arrUserId title="区域1_1_1_2_12" rangeCreator="" othersAccessPermission="edit"/>
    <arrUserId title="区域1_1_1_1_13" rangeCreator="" othersAccessPermission="edit"/>
    <arrUserId title="区域1_1_1_2_13" rangeCreator="" othersAccessPermission="edit"/>
    <arrUserId title="区域1_1_1_1_14" rangeCreator="" othersAccessPermission="edit"/>
    <arrUserId title="区域1_1_1_2_14" rangeCreator="" othersAccessPermission="edit"/>
    <arrUserId title="区域1_7_6" rangeCreator="" othersAccessPermission="edit"/>
    <arrUserId title="区域1_1_16" rangeCreator="" othersAccessPermission="edit"/>
    <arrUserId title="区域1_1_1_1_15" rangeCreator="" othersAccessPermission="edit"/>
    <arrUserId title="区域1_1_1_16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_1_17" rangeCreator="" othersAccessPermission="edit"/>
    <arrUserId title="区域1_1_1_2_17" rangeCreator="" othersAccessPermission="edit"/>
    <arrUserId title="区域1_1_1_1_18" rangeCreator="" othersAccessPermission="edit"/>
    <arrUserId title="区域1_1_1_2_18" rangeCreator="" othersAccessPermission="edit"/>
    <arrUserId title="区域1_1_7" rangeCreator="" othersAccessPermission="edit"/>
    <arrUserId title="区域1_1_1_1_19" rangeCreator="" othersAccessPermission="edit"/>
    <arrUserId title="区域1_1_1_7" rangeCreator="" othersAccessPermission="edit"/>
    <arrUserId title="区域1_1_1_2_19" rangeCreator="" othersAccessPermission="edit"/>
    <arrUserId title="区域1_7_7" rangeCreator="" othersAccessPermission="edit"/>
    <arrUserId title="区域1_1_15" rangeCreator="" othersAccessPermission="edit"/>
    <arrUserId title="区域1_1_1_1_20" rangeCreator="" othersAccessPermission="edit"/>
    <arrUserId title="区域1_1_1_15" rangeCreator="" othersAccessPermission="edit"/>
    <arrUserId title="区域1_1_1_2_20" rangeCreator="" othersAccessPermission="edit"/>
    <arrUserId title="区域1_1_9" rangeCreator="" othersAccessPermission="edit"/>
    <arrUserId title="区域1_1_1_1_21" rangeCreator="" othersAccessPermission="edit"/>
    <arrUserId title="区域1_1_1_9" rangeCreator="" othersAccessPermission="edit"/>
    <arrUserId title="区域1_1_1_2_21" rangeCreator="" othersAccessPermission="edit"/>
    <arrUserId title="区域1_1_14" rangeCreator="" othersAccessPermission="edit"/>
    <arrUserId title="区域1_1_1_1_22" rangeCreator="" othersAccessPermission="edit"/>
    <arrUserId title="区域1_1_1_14" rangeCreator="" othersAccessPermission="edit"/>
    <arrUserId title="区域1_1_1_2_22" rangeCreator="" othersAccessPermission="edit"/>
    <arrUserId title="区域1_7_5" rangeCreator="" othersAccessPermission="edit"/>
    <arrUserId title="区域1_1_13" rangeCreator="" othersAccessPermission="edit"/>
    <arrUserId title="区域1_1_1_1_23" rangeCreator="" othersAccessPermission="edit"/>
    <arrUserId title="区域1_1_1_13" rangeCreator="" othersAccessPermission="edit"/>
    <arrUserId title="区域1_1_1_2_23" rangeCreator="" othersAccessPermission="edit"/>
    <arrUserId title="区域1_1_6" rangeCreator="" othersAccessPermission="edit"/>
    <arrUserId title="区域1_1_1_1_24" rangeCreator="" othersAccessPermission="edit"/>
    <arrUserId title="区域1_1_1_6" rangeCreator="" othersAccessPermission="edit"/>
    <arrUserId title="区域1_1_1_2_24" rangeCreator="" othersAccessPermission="edit"/>
    <arrUserId title="区域1_7_3" rangeCreator="" othersAccessPermission="edit"/>
    <arrUserId title="区域1_1_19" rangeCreator="" othersAccessPermission="edit"/>
    <arrUserId title="区域1_1_1_1_25" rangeCreator="" othersAccessPermission="edit"/>
    <arrUserId title="区域1_1_1_19" rangeCreator="" othersAccessPermission="edit"/>
    <arrUserId title="区域1_1_1_2_25" rangeCreator="" othersAccessPermission="edit"/>
    <arrUserId title="区域1_7_8" rangeCreator="" othersAccessPermission="edit"/>
    <arrUserId title="区域1_1_20" rangeCreator="" othersAccessPermission="edit"/>
    <arrUserId title="区域1_1_1_1_26" rangeCreator="" othersAccessPermission="edit"/>
    <arrUserId title="区域1_1_1_20" rangeCreator="" othersAccessPermission="edit"/>
    <arrUserId title="区域1_1_1_2_26" rangeCreator="" othersAccessPermission="edit"/>
    <arrUserId title="区域1_7_9" rangeCreator="" othersAccessPermission="edit"/>
    <arrUserId title="区域1_1_18" rangeCreator="" othersAccessPermission="edit"/>
    <arrUserId title="区域1_1_1_1_27" rangeCreator="" othersAccessPermission="edit"/>
    <arrUserId title="区域1_1_1_18" rangeCreator="" othersAccessPermission="edit"/>
    <arrUserId title="区域1_1_1_2_27" rangeCreator="" othersAccessPermission="edit"/>
  </rangeList>
  <rangeList sheetStid="8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_1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_1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_1" rangeCreator="" othersAccessPermission="edit"/>
    <arrUserId title="区域1_5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_3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" rangeCreator="" othersAccessPermission="edit"/>
    <arrUserId title="区域1_4_1_1_1" rangeCreator="" othersAccessPermission="edit"/>
    <arrUserId title="区域1_5_2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1_2" rangeCreator="" othersAccessPermission="edit"/>
    <arrUserId title="区域1_1_1_2_2" rangeCreator="" othersAccessPermission="edit"/>
    <arrUserId title="区域1_1_4" rangeCreator="" othersAccessPermission="edit"/>
    <arrUserId title="区域1_1_1_1_3" rangeCreator="" othersAccessPermission="edit"/>
    <arrUserId title="区域1_1_1_4_1_1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6" rangeCreator="" othersAccessPermission="edit"/>
    <arrUserId title="区域1_1_1_1_5" rangeCreator="" othersAccessPermission="edit"/>
    <arrUserId title="区域1_1_1_6" rangeCreator="" othersAccessPermission="edit"/>
    <arrUserId title="区域1_1_1_2_5" rangeCreator="" othersAccessPermission="edit"/>
    <arrUserId title="区域1_7_3" rangeCreator="" othersAccessPermission="edit"/>
    <arrUserId title="区域1_1_7" rangeCreator="" othersAccessPermission="edit"/>
    <arrUserId title="区域1_1_1_1_6" rangeCreator="" othersAccessPermission="edit"/>
    <arrUserId title="区域1_1_1_7" rangeCreator="" othersAccessPermission="edit"/>
    <arrUserId title="区域1_1_1_2_6" rangeCreator="" othersAccessPermission="edit"/>
    <arrUserId title="区域1_1_1_1_7" rangeCreator="" othersAccessPermission="edit"/>
    <arrUserId title="区域1_1_1_2_7" rangeCreator="" othersAccessPermission="edit"/>
    <arrUserId title="区域1_7_4" rangeCreator="" othersAccessPermission="edit"/>
    <arrUserId title="区域1_1_1_1_8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10" rangeCreator="" othersAccessPermission="edit"/>
    <arrUserId title="区域1_1_12" rangeCreator="" othersAccessPermission="edit"/>
    <arrUserId title="区域1_1_1_1_11" rangeCreator="" othersAccessPermission="edit"/>
    <arrUserId title="区域1_1_1_12" rangeCreator="" othersAccessPermission="edit"/>
    <arrUserId title="区域1_1_1_2_11" rangeCreator="" othersAccessPermission="edit"/>
    <arrUserId title="区域1_1_13" rangeCreator="" othersAccessPermission="edit"/>
    <arrUserId title="区域1_1_1_1_12" rangeCreator="" othersAccessPermission="edit"/>
    <arrUserId title="区域1_1_1_13" rangeCreator="" othersAccessPermission="edit"/>
    <arrUserId title="区域1_1_1_2_12" rangeCreator="" othersAccessPermission="edit"/>
    <arrUserId title="区域1_1_1_1_13" rangeCreator="" othersAccessPermission="edit"/>
    <arrUserId title="区域1_1_1_2_13" rangeCreator="" othersAccessPermission="edit"/>
    <arrUserId title="区域1_1_15" rangeCreator="" othersAccessPermission="edit"/>
    <arrUserId title="区域1_1_1_1_14" rangeCreator="" othersAccessPermission="edit"/>
    <arrUserId title="区域1_1_1_15" rangeCreator="" othersAccessPermission="edit"/>
    <arrUserId title="区域1_1_1_2_14" rangeCreator="" othersAccessPermission="edit"/>
    <arrUserId title="区域1_7_6" rangeCreator="" othersAccessPermission="edit"/>
    <arrUserId title="区域1_1_16" rangeCreator="" othersAccessPermission="edit"/>
    <arrUserId title="区域1_1_1_1_15" rangeCreator="" othersAccessPermission="edit"/>
    <arrUserId title="区域1_1_1_16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8" rangeCreator="" othersAccessPermission="edit"/>
    <arrUserId title="区域1_1_1_1_17" rangeCreator="" othersAccessPermission="edit"/>
    <arrUserId title="区域1_1_1_18" rangeCreator="" othersAccessPermission="edit"/>
    <arrUserId title="区域1_1_1_2_17" rangeCreator="" othersAccessPermission="edit"/>
    <arrUserId title="区域1_1_1_1_18" rangeCreator="" othersAccessPermission="edit"/>
    <arrUserId title="区域1_1_1_2_18" rangeCreator="" othersAccessPermission="edit"/>
    <arrUserId title="区域1_1_8" rangeCreator="" othersAccessPermission="edit"/>
    <arrUserId title="区域1_1_1_1_19" rangeCreator="" othersAccessPermission="edit"/>
    <arrUserId title="区域1_1_1_8" rangeCreator="" othersAccessPermission="edit"/>
    <arrUserId title="区域1_1_1_2_19" rangeCreator="" othersAccessPermission="edit"/>
    <arrUserId title="区域1_1_9" rangeCreator="" othersAccessPermission="edit"/>
    <arrUserId title="区域1_1_1_1_20" rangeCreator="" othersAccessPermission="edit"/>
    <arrUserId title="区域1_1_1_9" rangeCreator="" othersAccessPermission="edit"/>
    <arrUserId title="区域1_1_1_2_20" rangeCreator="" othersAccessPermission="edit"/>
    <arrUserId title="区域1_1_19" rangeCreator="" othersAccessPermission="edit"/>
    <arrUserId title="区域1_1_1_1_21" rangeCreator="" othersAccessPermission="edit"/>
    <arrUserId title="区域1_1_1_19" rangeCreator="" othersAccessPermission="edit"/>
    <arrUserId title="区域1_1_1_2_21" rangeCreator="" othersAccessPermission="edit"/>
    <arrUserId title="区域1_1_14" rangeCreator="" othersAccessPermission="edit"/>
    <arrUserId title="区域1_1_1_1_22" rangeCreator="" othersAccessPermission="edit"/>
    <arrUserId title="区域1_1_1_14" rangeCreator="" othersAccessPermission="edit"/>
    <arrUserId title="区域1_1_1_2_22" rangeCreator="" othersAccessPermission="edit"/>
    <arrUserId title="区域1_7_5" rangeCreator="" othersAccessPermission="edit"/>
    <arrUserId title="区域1_1_20" rangeCreator="" othersAccessPermission="edit"/>
    <arrUserId title="区域1_1_1_1_23" rangeCreator="" othersAccessPermission="edit"/>
    <arrUserId title="区域1_1_1_20" rangeCreator="" othersAccessPermission="edit"/>
    <arrUserId title="区域1_1_1_2_23" rangeCreator="" othersAccessPermission="edit"/>
    <arrUserId title="区域1_7_7" rangeCreator="" othersAccessPermission="edit"/>
  </rangeList>
  <rangeList sheetStid="9" master=""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2_2" rangeCreator="" othersAccessPermission="edit"/>
    <arrUserId title="区域1_3_1_1_3_1" rangeCreator="" othersAccessPermission="edit"/>
    <arrUserId title="区域1_8_2_1_1" rangeCreator="" othersAccessPermission="edit"/>
    <arrUserId title="区域1_1_1" rangeCreator="" othersAccessPermission="edit"/>
    <arrUserId title="区域1_8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" rangeCreator="" othersAccessPermission="edit"/>
    <arrUserId title="区域1_3_1_1_1_2" rangeCreator="" othersAccessPermission="edit"/>
    <arrUserId title="区域1_8_1_3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7_1" rangeCreator="" othersAccessPermission="edit"/>
    <arrUserId title="区域1_9" rangeCreator="" othersAccessPermission="edit"/>
    <arrUserId title="区域1_13" rangeCreator="" othersAccessPermission="edit"/>
    <arrUserId title="区域1_17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2_2_1" rangeCreator="" othersAccessPermission="edit"/>
    <arrUserId title="区域1_3_1_1_3_1_2" rangeCreator="" othersAccessPermission="edit"/>
    <arrUserId title="区域1_8_2_1_1_1" rangeCreator="" othersAccessPermission="edit"/>
    <arrUserId title="区域1_1_1_4" rangeCreator="" othersAccessPermission="edit"/>
    <arrUserId title="区域1_8_2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5" rangeCreator="" othersAccessPermission="edit"/>
    <arrUserId title="区域1_3_1_1_1_2_1" rangeCreator="" othersAccessPermission="edit"/>
    <arrUserId title="区域1_8_1_3_2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7_1_1" rangeCreator="" othersAccessPermission="edit"/>
    <arrUserId title="区域1_9_1" rangeCreator="" othersAccessPermission="edit"/>
    <arrUserId title="区域1_13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3_1_1" rangeCreator="" othersAccessPermission="edit"/>
    <arrUserId title="区域1_8_2_1" rangeCreator="" othersAccessPermission="edit"/>
    <arrUserId title="区域1_3_2_3_1" rangeCreator="" othersAccessPermission="edit"/>
    <arrUserId title="区域1_3_1_1_3" rangeCreator="" othersAccessPermission="edit"/>
    <arrUserId title="区域1_8_2_1_2" rangeCreator="" othersAccessPermission="edit"/>
    <arrUserId title="区域1_1_3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4_1_1_1" rangeCreator="" othersAccessPermission="edit"/>
    <arrUserId title="区域1_2_1_2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3_3" rangeCreator="" othersAccessPermission="edit"/>
    <arrUserId title="区域1_10" rangeCreator="" othersAccessPermission="edit"/>
    <arrUserId title="区域1_12_1_1" rangeCreator="" othersAccessPermission="edit"/>
    <arrUserId title="区域1_13_1_1" rangeCreator="" othersAccessPermission="edit"/>
    <arrUserId title="区域1_15_1_1" rangeCreator="" othersAccessPermission="edit"/>
    <arrUserId title="区域1_17_1_1" rangeCreator="" othersAccessPermission="edit"/>
    <arrUserId title="区域1_1_1_1_2" rangeCreator="" othersAccessPermission="edit"/>
    <arrUserId title="区域1_1_4" rangeCreator="" othersAccessPermission="edit"/>
    <arrUserId title="区域1_1_1_4_1_1" rangeCreator="" othersAccessPermission="edit"/>
    <arrUserId title="区域1_7_2" rangeCreator="" othersAccessPermission="edit"/>
    <arrUserId title="区域1_1_1_2_4" rangeCreator="" othersAccessPermission="edit"/>
    <arrUserId title="区域1_1_1_2_5" rangeCreator="" othersAccessPermission="edit"/>
    <arrUserId title="区域1_1_1_2_6" rangeCreator="" othersAccessPermission="edit"/>
    <arrUserId title="区域1_1_1_2_7" rangeCreator="" othersAccessPermission="edit"/>
    <arrUserId title="区域1_1_1_1_8" rangeCreator="" othersAccessPermission="edit"/>
    <arrUserId title="区域1_1_10" rangeCreator="" othersAccessPermission="edit"/>
    <arrUserId title="区域1_1_1_10" rangeCreator="" othersAccessPermission="edit"/>
    <arrUserId title="区域1_1_11" rangeCreator="" othersAccessPermission="edit"/>
    <arrUserId title="区域1_1_1_11" rangeCreator="" othersAccessPermission="edit"/>
    <arrUserId title="区域1_1_1_1_11" rangeCreator="" othersAccessPermission="edit"/>
    <arrUserId title="区域1_1_1_2_12" rangeCreator="" othersAccessPermission="edit"/>
    <arrUserId title="区域1_1_1_2_13" rangeCreator="" othersAccessPermission="edit"/>
    <arrUserId title="区域1_1_1_1_14" rangeCreator="" othersAccessPermission="edit"/>
    <arrUserId title="区域1_1_1_2_14" rangeCreator="" othersAccessPermission="edit"/>
    <arrUserId title="区域1_1_1_1_15" rangeCreator="" othersAccessPermission="edit"/>
    <arrUserId title="区域1_1_17" rangeCreator="" othersAccessPermission="edit"/>
    <arrUserId title="区域1_1_1_17" rangeCreator="" othersAccessPermission="edit"/>
    <arrUserId title="区域1_1_1_1_17" rangeCreator="" othersAccessPermission="edit"/>
    <arrUserId title="区域1_1_1_1_18" rangeCreator="" othersAccessPermission="edit"/>
    <arrUserId title="区域1_1_7" rangeCreator="" othersAccessPermission="edit"/>
    <arrUserId title="区域1_1_1_7" rangeCreator="" othersAccessPermission="edit"/>
    <arrUserId title="区域1_1_9" rangeCreator="" othersAccessPermission="edit"/>
    <arrUserId title="区域1_1_1_9" rangeCreator="" othersAccessPermission="edit"/>
    <arrUserId title="区域1_1_5" rangeCreator="" othersAccessPermission="edit"/>
    <arrUserId title="区域1_1_1_5" rangeCreator="" othersAccessPermission="edit"/>
    <arrUserId title="区域1_1_8" rangeCreator="" othersAccessPermission="edit"/>
    <arrUserId title="区域1_1_1_8" rangeCreator="" othersAccessPermission="edit"/>
    <arrUserId title="区域1_1_20" rangeCreator="" othersAccessPermission="edit"/>
    <arrUserId title="区域1_1_1_20" rangeCreator="" othersAccessPermission="edit"/>
    <arrUserId title="区域1_1_21" rangeCreator="" othersAccessPermission="edit"/>
    <arrUserId title="区域1_1_1_21" rangeCreator="" othersAccessPermission="edit"/>
    <arrUserId title="区域1_1_6" rangeCreator="" othersAccessPermission="edit"/>
    <arrUserId title="区域1_1_1_6" rangeCreator="" othersAccessPermission="edit"/>
    <arrUserId title="区域1_7_3" rangeCreator="" othersAccessPermission="edit"/>
    <arrUserId title="区域1_1_1_1_26" rangeCreator="" othersAccessPermission="edit"/>
    <arrUserId title="区域1_1_1_2_26" rangeCreator="" othersAccessPermission="edit"/>
    <arrUserId title="区域1_1_1_2_27" rangeCreator="" othersAccessPermission="edit"/>
    <arrUserId title="区域1_1_1_1_12" rangeCreator="" othersAccessPermission="edit"/>
    <arrUserId title="区域1_1_1_2_28" rangeCreator="" othersAccessPermission="edit"/>
    <arrUserId title="区域1_1_1_1_28" rangeCreator="" othersAccessPermission="edit"/>
    <arrUserId title="区域1_1_1_2_29" rangeCreator="" othersAccessPermission="edit"/>
    <arrUserId title="区域1_1_1_1_29" rangeCreator="" othersAccessPermission="edit"/>
    <arrUserId title="区域1_1_1_2_30" rangeCreator="" othersAccessPermission="edit"/>
    <arrUserId title="区域1_1_1_1_30" rangeCreator="" othersAccessPermission="edit"/>
    <arrUserId title="区域1_1_1_2_31" rangeCreator="" othersAccessPermission="edit"/>
    <arrUserId title="区域1_1_12" rangeCreator="" othersAccessPermission="edit"/>
    <arrUserId title="区域1_1_1_12" rangeCreator="" othersAccessPermission="edit"/>
    <arrUserId title="区域1_1_14" rangeCreator="" othersAccessPermission="edit"/>
    <arrUserId title="区域1_1_1_14" rangeCreator="" othersAccessPermission="edit"/>
    <arrUserId title="区域1_7_5" rangeCreator="" othersAccessPermission="edit"/>
    <arrUserId title="区域1_3" rangeCreator="" othersAccessPermission="edit"/>
    <arrUserId title="区域1_3_1_1_2_1_2" rangeCreator="" othersAccessPermission="edit"/>
    <arrUserId title="区域1_1_1_2_2" rangeCreator="" othersAccessPermission="edit"/>
    <arrUserId title="区域1_3_1_1_1_4" rangeCreator="" othersAccessPermission="edit"/>
    <arrUserId title="区域1_8_1_5" rangeCreator="" othersAccessPermission="edit"/>
    <arrUserId title="区域1_3_1_2" rangeCreator="" othersAccessPermission="edit"/>
    <arrUserId title="区域1_3_2_2_2" rangeCreator="" othersAccessPermission="edit"/>
    <arrUserId title="区域1_3_1_1_3_1_3" rangeCreator="" othersAccessPermission="edit"/>
    <arrUserId title="区域1_3_2_1_1" rangeCreator="" othersAccessPermission="edit"/>
    <arrUserId title="区域1_8_2_1_1_2" rangeCreator="" othersAccessPermission="edit"/>
    <arrUserId title="区域1_1_1_13" rangeCreator="" othersAccessPermission="edit"/>
    <arrUserId title="区域1_4" rangeCreator="" othersAccessPermission="edit"/>
    <arrUserId title="区域1_8_3" rangeCreator="" othersAccessPermission="edit"/>
    <arrUserId title="区域1_3_2" rangeCreator="" othersAccessPermission="edit"/>
    <arrUserId title="区域1_3_2_1_3" rangeCreator="" othersAccessPermission="edit"/>
    <arrUserId title="区域1_1_13" rangeCreator="" othersAccessPermission="edit"/>
    <arrUserId title="区域1_1_1_1_3" rangeCreator="" othersAccessPermission="edit"/>
    <arrUserId title="区域1_8_1_2_2" rangeCreator="" othersAccessPermission="edit"/>
    <arrUserId title="区域1_6_1_1" rangeCreator="" othersAccessPermission="edit"/>
    <arrUserId title="区域1_2" rangeCreator="" othersAccessPermission="edit"/>
    <arrUserId title="区域1_5_1" rangeCreator="" othersAccessPermission="edit"/>
    <arrUserId title="区域1_8_1_3_3" rangeCreator="" othersAccessPermission="edit"/>
    <arrUserId title="区域1_2_1" rangeCreator="" othersAccessPermission="edit"/>
    <arrUserId title="区域1_1_1_3_2" rangeCreator="" othersAccessPermission="edit"/>
    <arrUserId title="区域1_2_1_1" rangeCreator="" othersAccessPermission="edit"/>
    <arrUserId title="区域1_7_1_2" rangeCreator="" othersAccessPermission="edit"/>
    <arrUserId title="区域1_4_2" rangeCreator="" othersAccessPermission="edit"/>
    <arrUserId title="区域1_9_2" rangeCreator="" othersAccessPermission="edit"/>
    <arrUserId title="区域1_12" rangeCreator="" othersAccessPermission="edit"/>
    <arrUserId title="区域1_13_2" rangeCreator="" othersAccessPermission="edit"/>
    <arrUserId title="区域1_15" rangeCreator="" othersAccessPermission="edit"/>
    <arrUserId title="区域1_17_2" rangeCreator="" othersAccessPermission="edit"/>
    <arrUserId title="区域1_3_1" rangeCreator="" othersAccessPermission="edit"/>
    <arrUserId title="区域1_3_1_1_2_1_1_1" rangeCreator="" othersAccessPermission="edit"/>
    <arrUserId title="区域1_1_1_2_1_2" rangeCreator="" othersAccessPermission="edit"/>
    <arrUserId title="区域1_3_1_1_1_1_2" rangeCreator="" othersAccessPermission="edit"/>
    <arrUserId title="区域1_8_1_1_2" rangeCreator="" othersAccessPermission="edit"/>
    <arrUserId title="区域1_3_1_2_1" rangeCreator="" othersAccessPermission="edit"/>
    <arrUserId title="区域1_3_2_2_1_1" rangeCreator="" othersAccessPermission="edit"/>
    <arrUserId title="区域1_3_1_1_3_1_2_2" rangeCreator="" othersAccessPermission="edit"/>
    <arrUserId title="区域1_3_2_1_1_1" rangeCreator="" othersAccessPermission="edit"/>
    <arrUserId title="区域1_8_2_1_1_1_2" rangeCreator="" othersAccessPermission="edit"/>
    <arrUserId title="区域1_1_1_4_2" rangeCreator="" othersAccessPermission="edit"/>
    <arrUserId title="区域1_4_1" rangeCreator="" othersAccessPermission="edit"/>
    <arrUserId title="区域1_8_2_3" rangeCreator="" othersAccessPermission="edit"/>
    <arrUserId title="区域1_3_2_3" rangeCreator="" othersAccessPermission="edit"/>
    <arrUserId title="区域1_3_2_1_2_1" rangeCreator="" othersAccessPermission="edit"/>
    <arrUserId title="区域1_1_2_2" rangeCreator="" othersAccessPermission="edit"/>
    <arrUserId title="区域1_1_1_1_1_2" rangeCreator="" othersAccessPermission="edit"/>
    <arrUserId title="区域1_8_1_2_1_2" rangeCreator="" othersAccessPermission="edit"/>
    <arrUserId title="区域1_6_1_1_1" rangeCreator="" othersAccessPermission="edit"/>
    <arrUserId title="区域1_5_2" rangeCreator="" othersAccessPermission="edit"/>
    <arrUserId title="区域1_5_1_1" rangeCreator="" othersAccessPermission="edit"/>
    <arrUserId title="区域1_8_1_3_2_2" rangeCreator="" othersAccessPermission="edit"/>
    <arrUserId title="区域1_2_1_3" rangeCreator="" othersAccessPermission="edit"/>
    <arrUserId title="区域1_1_1_3_1_2" rangeCreator="" othersAccessPermission="edit"/>
    <arrUserId title="区域1_2_1_1_1" rangeCreator="" othersAccessPermission="edit"/>
    <arrUserId title="区域1_7_1_1_2" rangeCreator="" othersAccessPermission="edit"/>
    <arrUserId title="区域1_4_2_1" rangeCreator="" othersAccessPermission="edit"/>
    <arrUserId title="区域1_9_1_1" rangeCreator="" othersAccessPermission="edit"/>
    <arrUserId title="区域1_12_1" rangeCreator="" othersAccessPermission="edit"/>
    <arrUserId title="区域1_13_1_2" rangeCreator="" othersAccessPermission="edit"/>
    <arrUserId title="区域1_15_1" rangeCreator="" othersAccessPermission="edit"/>
    <arrUserId title="区域1_17_1_2" rangeCreator="" othersAccessPermission="edit"/>
    <arrUserId title="区域1_1_2_1_1" rangeCreator="" othersAccessPermission="edit"/>
    <arrUserId title="区域1_1_1_4_1_2" rangeCreator="" othersAccessPermission="edit"/>
    <arrUserId title="区域1_8_1_1_1_1" rangeCreator="" othersAccessPermission="edit"/>
    <arrUserId title="区域1_4_1_1" rangeCreator="" othersAccessPermission="edit"/>
    <arrUserId title="区域1_3_1_1_4" rangeCreator="" othersAccessPermission="edit"/>
    <arrUserId title="区域1_8_2_1_3" rangeCreator="" othersAccessPermission="edit"/>
    <arrUserId title="区域1_3_1_3" rangeCreator="" othersAccessPermission="edit"/>
    <arrUserId title="区域1_3_2_3_1_1" rangeCreator="" othersAccessPermission="edit"/>
    <arrUserId title="区域1_3_1_1_3_2" rangeCreator="" othersAccessPermission="edit"/>
    <arrUserId title="区域1_3_2_1_2_1_1" rangeCreator="" othersAccessPermission="edit"/>
    <arrUserId title="区域1_8_2_1_2_1" rangeCreator="" othersAccessPermission="edit"/>
    <arrUserId title="区域1_1_3_2" rangeCreator="" othersAccessPermission="edit"/>
    <arrUserId title="区域1_6" rangeCreator="" othersAccessPermission="edit"/>
    <arrUserId title="区域1_1_1_1_1_1_2" rangeCreator="" othersAccessPermission="edit"/>
    <arrUserId title="区域1_3_1_1_1_1_1_1" rangeCreator="" othersAccessPermission="edit"/>
    <arrUserId title="区域1_8_1_2_1_1_1" rangeCreator="" othersAccessPermission="edit"/>
    <arrUserId title="区域1_1_1_2_1_1_2" rangeCreator="" othersAccessPermission="edit"/>
    <arrUserId title="区域1_6_1" rangeCreator="" othersAccessPermission="edit"/>
    <arrUserId title="区域1_4_1_1_1_1" rangeCreator="" othersAccessPermission="edit"/>
    <arrUserId title="区域1_5_2_2" rangeCreator="" othersAccessPermission="edit"/>
    <arrUserId title="区域1_2_1_2_1" rangeCreator="" othersAccessPermission="edit"/>
    <arrUserId title="区域1_5_1_1_1" rangeCreator="" othersAccessPermission="edit"/>
    <arrUserId title="区域1_7_4" rangeCreator="" othersAccessPermission="edit"/>
    <arrUserId title="区域1_1_3_1_1" rangeCreator="" othersAccessPermission="edit"/>
    <arrUserId title="区域1_8_1_4_1" rangeCreator="" othersAccessPermission="edit"/>
    <arrUserId title="区域1_1_1_1_1_1_1_1" rangeCreator="" othersAccessPermission="edit"/>
    <arrUserId title="区域1_2_1_3_1" rangeCreator="" othersAccessPermission="edit"/>
    <arrUserId title="区域1_1_1_3_1_1_1" rangeCreator="" othersAccessPermission="edit"/>
    <arrUserId title="区域1_8_2_2_1" rangeCreator="" othersAccessPermission="edit"/>
    <arrUserId title="区域1_1_1_2_1_1_1_1" rangeCreator="" othersAccessPermission="edit"/>
    <arrUserId title="区域1_2_1_3_1_1" rangeCreator="" othersAccessPermission="edit"/>
    <arrUserId title="区域1_5_2_1_1" rangeCreator="" othersAccessPermission="edit"/>
    <arrUserId title="区域1_7_1_1_1_1" rangeCreator="" othersAccessPermission="edit"/>
    <arrUserId title="区域1_4_2_1_1" rangeCreator="" othersAccessPermission="edit"/>
    <arrUserId title="区域1_3_3_1" rangeCreator="" othersAccessPermission="edit"/>
    <arrUserId title="区域1_9_1_1_1" rangeCreator="" othersAccessPermission="edit"/>
    <arrUserId title="区域1_10_1" rangeCreator="" othersAccessPermission="edit"/>
    <arrUserId title="区域1_3_3_1_1" rangeCreator="" othersAccessPermission="edit"/>
    <arrUserId title="区域1_12_1_1_1" rangeCreator="" othersAccessPermission="edit"/>
    <arrUserId title="区域1_6_2" rangeCreator="" othersAccessPermission="edit"/>
    <arrUserId title="区域1_13_1_1_1" rangeCreator="" othersAccessPermission="edit"/>
    <arrUserId title="区域1_14" rangeCreator="" othersAccessPermission="edit"/>
    <arrUserId title="区域1_15_1_1_1" rangeCreator="" othersAccessPermission="edit"/>
    <arrUserId title="区域1_16" rangeCreator="" othersAccessPermission="edit"/>
    <arrUserId title="区域1_17_1_1_1" rangeCreator="" othersAccessPermission="edit"/>
    <arrUserId title="区域1_18" rangeCreator="" othersAccessPermission="edit"/>
    <arrUserId title="区域1_1_1_1_2_1" rangeCreator="" othersAccessPermission="edit"/>
    <arrUserId title="区域1_1_1_2_2_1" rangeCreator="" othersAccessPermission="edit"/>
    <arrUserId title="区域1_1_4_1" rangeCreator="" othersAccessPermission="edit"/>
    <arrUserId title="区域1_1_1_1_3_1" rangeCreator="" othersAccessPermission="edit"/>
    <arrUserId title="区域1_1_1_4_1_1_1" rangeCreator="" othersAccessPermission="edit"/>
    <arrUserId title="区域1_1_1_2_3" rangeCreator="" othersAccessPermission="edit"/>
    <arrUserId title="区域1_7_2_1" rangeCreator="" othersAccessPermission="edit"/>
    <arrUserId title="区域1_1_1_1_4" rangeCreator="" othersAccessPermission="edit"/>
    <arrUserId title="区域1_1_1_2_4_1" rangeCreator="" othersAccessPermission="edit"/>
    <arrUserId title="区域1_1_1_1_5" rangeCreator="" othersAccessPermission="edit"/>
    <arrUserId title="区域1_1_1_2_5_1" rangeCreator="" othersAccessPermission="edit"/>
    <arrUserId title="区域1_1_1_1_6" rangeCreator="" othersAccessPermission="edit"/>
    <arrUserId title="区域1_1_1_2_6_1" rangeCreator="" othersAccessPermission="edit"/>
    <arrUserId title="区域1_1_1_1_7" rangeCreator="" othersAccessPermission="edit"/>
    <arrUserId title="区域1_1_1_2_7_1" rangeCreator="" othersAccessPermission="edit"/>
    <arrUserId title="区域1_7_4_1" rangeCreator="" othersAccessPermission="edit"/>
    <arrUserId title="区域1_1_1_1_8_1" rangeCreator="" othersAccessPermission="edit"/>
    <arrUserId title="区域1_1_1_2_8" rangeCreator="" othersAccessPermission="edit"/>
    <arrUserId title="区域1_1_10_1" rangeCreator="" othersAccessPermission="edit"/>
    <arrUserId title="区域1_1_1_1_9" rangeCreator="" othersAccessPermission="edit"/>
    <arrUserId title="区域1_1_1_10_1" rangeCreator="" othersAccessPermission="edit"/>
    <arrUserId title="区域1_1_1_2_9" rangeCreator="" othersAccessPermission="edit"/>
    <arrUserId title="区域1_1_11_1" rangeCreator="" othersAccessPermission="edit"/>
    <arrUserId title="区域1_1_1_1_10" rangeCreator="" othersAccessPermission="edit"/>
    <arrUserId title="区域1_1_1_11_1" rangeCreator="" othersAccessPermission="edit"/>
    <arrUserId title="区域1_1_1_2_10" rangeCreator="" othersAccessPermission="edit"/>
    <arrUserId title="区域1_1_1_1_11_1" rangeCreator="" othersAccessPermission="edit"/>
    <arrUserId title="区域1_1_1_2_11" rangeCreator="" othersAccessPermission="edit"/>
    <arrUserId title="区域1_1_1_2_12_1" rangeCreator="" othersAccessPermission="edit"/>
    <arrUserId title="区域1_1_1_1_13" rangeCreator="" othersAccessPermission="edit"/>
    <arrUserId title="区域1_1_1_2_13_1" rangeCreator="" othersAccessPermission="edit"/>
    <arrUserId title="区域1_1_15" rangeCreator="" othersAccessPermission="edit"/>
    <arrUserId title="区域1_1_1_1_14_1" rangeCreator="" othersAccessPermission="edit"/>
    <arrUserId title="区域1_1_1_15" rangeCreator="" othersAccessPermission="edit"/>
    <arrUserId title="区域1_1_1_2_14_1" rangeCreator="" othersAccessPermission="edit"/>
    <arrUserId title="区域1_7_6" rangeCreator="" othersAccessPermission="edit"/>
    <arrUserId title="区域1_1_1_1_15_1" rangeCreator="" othersAccessPermission="edit"/>
    <arrUserId title="区域1_1_1_2_15" rangeCreator="" othersAccessPermission="edit"/>
    <arrUserId title="区域1_1_17_1" rangeCreator="" othersAccessPermission="edit"/>
    <arrUserId title="区域1_1_1_1_16" rangeCreator="" othersAccessPermission="edit"/>
    <arrUserId title="区域1_1_1_17_1" rangeCreator="" othersAccessPermission="edit"/>
    <arrUserId title="区域1_1_1_2_16" rangeCreator="" othersAccessPermission="edit"/>
    <arrUserId title="区域1_1_1_1_17_1" rangeCreator="" othersAccessPermission="edit"/>
    <arrUserId title="区域1_1_1_2_17" rangeCreator="" othersAccessPermission="edit"/>
    <arrUserId title="区域1_1_1_1_18_1" rangeCreator="" othersAccessPermission="edit"/>
    <arrUserId title="区域1_1_1_2_18" rangeCreator="" othersAccessPermission="edit"/>
    <arrUserId title="区域1_1_7_1" rangeCreator="" othersAccessPermission="edit"/>
    <arrUserId title="区域1_1_1_1_19" rangeCreator="" othersAccessPermission="edit"/>
    <arrUserId title="区域1_1_1_7_1" rangeCreator="" othersAccessPermission="edit"/>
    <arrUserId title="区域1_1_1_2_19" rangeCreator="" othersAccessPermission="edit"/>
    <arrUserId title="区域1_1_9_1" rangeCreator="" othersAccessPermission="edit"/>
    <arrUserId title="区域1_1_1_1_20" rangeCreator="" othersAccessPermission="edit"/>
    <arrUserId title="区域1_1_1_9_1" rangeCreator="" othersAccessPermission="edit"/>
    <arrUserId title="区域1_1_1_2_20" rangeCreator="" othersAccessPermission="edit"/>
    <arrUserId title="区域1_1_5_1" rangeCreator="" othersAccessPermission="edit"/>
    <arrUserId title="区域1_1_1_1_21" rangeCreator="" othersAccessPermission="edit"/>
    <arrUserId title="区域1_1_1_5_1" rangeCreator="" othersAccessPermission="edit"/>
    <arrUserId title="区域1_1_1_2_21" rangeCreator="" othersAccessPermission="edit"/>
    <arrUserId title="区域1_1_8_1" rangeCreator="" othersAccessPermission="edit"/>
    <arrUserId title="区域1_1_1_1_22" rangeCreator="" othersAccessPermission="edit"/>
    <arrUserId title="区域1_1_1_8_1" rangeCreator="" othersAccessPermission="edit"/>
    <arrUserId title="区域1_1_1_2_22" rangeCreator="" othersAccessPermission="edit"/>
    <arrUserId title="区域1_1_20_1" rangeCreator="" othersAccessPermission="edit"/>
    <arrUserId title="区域1_1_1_1_23" rangeCreator="" othersAccessPermission="edit"/>
    <arrUserId title="区域1_1_1_20_1" rangeCreator="" othersAccessPermission="edit"/>
    <arrUserId title="区域1_1_1_2_23" rangeCreator="" othersAccessPermission="edit"/>
    <arrUserId title="区域1_1_21_1" rangeCreator="" othersAccessPermission="edit"/>
    <arrUserId title="区域1_1_1_1_24" rangeCreator="" othersAccessPermission="edit"/>
    <arrUserId title="区域1_1_1_21_1" rangeCreator="" othersAccessPermission="edit"/>
    <arrUserId title="区域1_1_1_2_24" rangeCreator="" othersAccessPermission="edit"/>
    <arrUserId title="区域1_1_6_1" rangeCreator="" othersAccessPermission="edit"/>
    <arrUserId title="区域1_1_1_1_25" rangeCreator="" othersAccessPermission="edit"/>
    <arrUserId title="区域1_1_1_6_1" rangeCreator="" othersAccessPermission="edit"/>
    <arrUserId title="区域1_1_1_2_25" rangeCreator="" othersAccessPermission="edit"/>
    <arrUserId title="区域1_7_3_1" rangeCreator="" othersAccessPermission="edit"/>
    <arrUserId title="区域1_1_18" rangeCreator="" othersAccessPermission="edit"/>
    <arrUserId title="区域1_1_1_1_26_1" rangeCreator="" othersAccessPermission="edit"/>
    <arrUserId title="区域1_1_1_18" rangeCreator="" othersAccessPermission="edit"/>
    <arrUserId title="区域1_1_1_2_26_1" rangeCreator="" othersAccessPermission="edit"/>
    <arrUserId title="区域1_1_1_1_27" rangeCreator="" othersAccessPermission="edit"/>
    <arrUserId title="区域1_1_1_2_27_1" rangeCreator="" othersAccessPermission="edit"/>
    <arrUserId title="区域1_1_13_1" rangeCreator="" othersAccessPermission="edit"/>
    <arrUserId title="区域1_1_1_1_12_1" rangeCreator="" othersAccessPermission="edit"/>
    <arrUserId title="区域1_1_1_13_1" rangeCreator="" othersAccessPermission="edit"/>
    <arrUserId title="区域1_1_1_2_28_1" rangeCreator="" othersAccessPermission="edit"/>
    <arrUserId title="区域1_1_19" rangeCreator="" othersAccessPermission="edit"/>
    <arrUserId title="区域1_1_1_1_28_1" rangeCreator="" othersAccessPermission="edit"/>
    <arrUserId title="区域1_1_1_19" rangeCreator="" othersAccessPermission="edit"/>
    <arrUserId title="区域1_1_1_2_29_1" rangeCreator="" othersAccessPermission="edit"/>
    <arrUserId title="区域1_1_16" rangeCreator="" othersAccessPermission="edit"/>
    <arrUserId title="区域1_1_1_1_29_1" rangeCreator="" othersAccessPermission="edit"/>
    <arrUserId title="区域1_1_1_16" rangeCreator="" othersAccessPermission="edit"/>
    <arrUserId title="区域1_1_1_2_30_1" rangeCreator="" othersAccessPermission="edit"/>
    <arrUserId title="区域1_1_22" rangeCreator="" othersAccessPermission="edit"/>
    <arrUserId title="区域1_1_1_1_30_1" rangeCreator="" othersAccessPermission="edit"/>
    <arrUserId title="区域1_1_1_22" rangeCreator="" othersAccessPermission="edit"/>
    <arrUserId title="区域1_1_1_2_31_1" rangeCreator="" othersAccessPermission="edit"/>
    <arrUserId title="区域1_7_7" rangeCreator="" othersAccessPermission="edit"/>
    <arrUserId title="区域1_1_12_1" rangeCreator="" othersAccessPermission="edit"/>
    <arrUserId title="区域1_1_1_1_31" rangeCreator="" othersAccessPermission="edit"/>
    <arrUserId title="区域1_1_1_12_1" rangeCreator="" othersAccessPermission="edit"/>
    <arrUserId title="区域1_1_1_2_32" rangeCreator="" othersAccessPermission="edit"/>
    <arrUserId title="区域1_1_14_1" rangeCreator="" othersAccessPermission="edit"/>
    <arrUserId title="区域1_1_1_1_32" rangeCreator="" othersAccessPermission="edit"/>
    <arrUserId title="区域1_1_1_14_1" rangeCreator="" othersAccessPermission="edit"/>
    <arrUserId title="区域1_1_1_2_33" rangeCreator="" othersAccessPermission="edit"/>
    <arrUserId title="区域1_7_5_1" rangeCreator="" othersAccessPermission="edit"/>
  </rangeList>
  <rangeList sheetStid="10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_1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_1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_1" rangeCreator="" othersAccessPermission="edit"/>
    <arrUserId title="区域1_5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_3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" rangeCreator="" othersAccessPermission="edit"/>
    <arrUserId title="区域1_4_1_1_1" rangeCreator="" othersAccessPermission="edit"/>
    <arrUserId title="区域1_5_2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1_2" rangeCreator="" othersAccessPermission="edit"/>
    <arrUserId title="区域1_1_1_2_2" rangeCreator="" othersAccessPermission="edit"/>
    <arrUserId title="区域1_1_4" rangeCreator="" othersAccessPermission="edit"/>
    <arrUserId title="区域1_1_1_1_3" rangeCreator="" othersAccessPermission="edit"/>
    <arrUserId title="区域1_1_1_4_1_1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1_1_5" rangeCreator="" othersAccessPermission="edit"/>
    <arrUserId title="区域1_1_1_2_5" rangeCreator="" othersAccessPermission="edit"/>
    <arrUserId title="区域1_1_1_1_6" rangeCreator="" othersAccessPermission="edit"/>
    <arrUserId title="区域1_1_1_2_6" rangeCreator="" othersAccessPermission="edit"/>
    <arrUserId title="区域1_1_8" rangeCreator="" othersAccessPermission="edit"/>
    <arrUserId title="区域1_1_1_1_7" rangeCreator="" othersAccessPermission="edit"/>
    <arrUserId title="区域1_1_1_8" rangeCreator="" othersAccessPermission="edit"/>
    <arrUserId title="区域1_1_1_2_7" rangeCreator="" othersAccessPermission="edit"/>
    <arrUserId title="区域1_7_4" rangeCreator="" othersAccessPermission="edit"/>
    <arrUserId title="区域1_1_1_1_8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10" rangeCreator="" othersAccessPermission="edit"/>
    <arrUserId title="区域1_1_1_1_11" rangeCreator="" othersAccessPermission="edit"/>
    <arrUserId title="区域1_1_1_2_11" rangeCreator="" othersAccessPermission="edit"/>
    <arrUserId title="区域1_1_1_1_12" rangeCreator="" othersAccessPermission="edit"/>
    <arrUserId title="区域1_1_1_2_12" rangeCreator="" othersAccessPermission="edit"/>
    <arrUserId title="区域1_1_1_1_13" rangeCreator="" othersAccessPermission="edit"/>
    <arrUserId title="区域1_1_1_2_13" rangeCreator="" othersAccessPermission="edit"/>
    <arrUserId title="区域1_1_1_1_14" rangeCreator="" othersAccessPermission="edit"/>
    <arrUserId title="区域1_1_1_2_14" rangeCreator="" othersAccessPermission="edit"/>
    <arrUserId title="区域1_1_16" rangeCreator="" othersAccessPermission="edit"/>
    <arrUserId title="区域1_1_1_1_15" rangeCreator="" othersAccessPermission="edit"/>
    <arrUserId title="区域1_1_1_16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_1_17" rangeCreator="" othersAccessPermission="edit"/>
    <arrUserId title="区域1_1_1_2_17" rangeCreator="" othersAccessPermission="edit"/>
    <arrUserId title="区域1_1_1_1_18" rangeCreator="" othersAccessPermission="edit"/>
    <arrUserId title="区域1_1_1_2_18" rangeCreator="" othersAccessPermission="edit"/>
    <arrUserId title="区域1_1_13" rangeCreator="" othersAccessPermission="edit"/>
    <arrUserId title="区域1_1_1_1_19" rangeCreator="" othersAccessPermission="edit"/>
    <arrUserId title="区域1_1_1_13" rangeCreator="" othersAccessPermission="edit"/>
    <arrUserId title="区域1_1_1_2_19" rangeCreator="" othersAccessPermission="edit"/>
    <arrUserId title="区域1_1_15" rangeCreator="" othersAccessPermission="edit"/>
    <arrUserId title="区域1_1_1_1_20" rangeCreator="" othersAccessPermission="edit"/>
    <arrUserId title="区域1_1_1_15" rangeCreator="" othersAccessPermission="edit"/>
    <arrUserId title="区域1_1_1_2_20" rangeCreator="" othersAccessPermission="edit"/>
    <arrUserId title="区域1_7_6" rangeCreator="" othersAccessPermission="edit"/>
    <arrUserId title="区域1_1_14" rangeCreator="" othersAccessPermission="edit"/>
    <arrUserId title="区域1_1_1_1_21" rangeCreator="" othersAccessPermission="edit"/>
    <arrUserId title="区域1_1_1_14" rangeCreator="" othersAccessPermission="edit"/>
    <arrUserId title="区域1_1_1_2_21" rangeCreator="" othersAccessPermission="edit"/>
    <arrUserId title="区域1_7_5" rangeCreator="" othersAccessPermission="edit"/>
    <arrUserId title="区域1_1_12" rangeCreator="" othersAccessPermission="edit"/>
    <arrUserId title="区域1_1_1_1_22" rangeCreator="" othersAccessPermission="edit"/>
    <arrUserId title="区域1_1_1_12" rangeCreator="" othersAccessPermission="edit"/>
    <arrUserId title="区域1_1_1_2_22" rangeCreator="" othersAccessPermission="edit"/>
    <arrUserId title="区域1_1_19" rangeCreator="" othersAccessPermission="edit"/>
    <arrUserId title="区域1_1_1_1_23" rangeCreator="" othersAccessPermission="edit"/>
    <arrUserId title="区域1_1_1_19" rangeCreator="" othersAccessPermission="edit"/>
    <arrUserId title="区域1_1_1_2_23" rangeCreator="" othersAccessPermission="edit"/>
    <arrUserId title="区域1_1_20" rangeCreator="" othersAccessPermission="edit"/>
    <arrUserId title="区域1_1_1_1_24" rangeCreator="" othersAccessPermission="edit"/>
    <arrUserId title="区域1_1_1_20" rangeCreator="" othersAccessPermission="edit"/>
    <arrUserId title="区域1_1_1_2_24" rangeCreator="" othersAccessPermission="edit"/>
    <arrUserId title="区域1_1_21" rangeCreator="" othersAccessPermission="edit"/>
    <arrUserId title="区域1_1_1_1_25" rangeCreator="" othersAccessPermission="edit"/>
    <arrUserId title="区域1_1_1_21" rangeCreator="" othersAccessPermission="edit"/>
    <arrUserId title="区域1_1_1_2_25" rangeCreator="" othersAccessPermission="edit"/>
    <arrUserId title="区域1_1_6" rangeCreator="" othersAccessPermission="edit"/>
    <arrUserId title="区域1_1_1_1_26" rangeCreator="" othersAccessPermission="edit"/>
    <arrUserId title="区域1_1_1_6" rangeCreator="" othersAccessPermission="edit"/>
    <arrUserId title="区域1_1_1_2_26" rangeCreator="" othersAccessPermission="edit"/>
    <arrUserId title="区域1_7_3" rangeCreator="" othersAccessPermission="edit"/>
    <arrUserId title="区域1_1_9" rangeCreator="" othersAccessPermission="edit"/>
    <arrUserId title="区域1_1_1_1_27" rangeCreator="" othersAccessPermission="edit"/>
    <arrUserId title="区域1_1_1_9" rangeCreator="" othersAccessPermission="edit"/>
    <arrUserId title="区域1_1_1_2_27" rangeCreator="" othersAccessPermission="edit"/>
    <arrUserId title="区域1_1_18" rangeCreator="" othersAccessPermission="edit"/>
    <arrUserId title="区域1_1_1_1_28" rangeCreator="" othersAccessPermission="edit"/>
    <arrUserId title="区域1_1_1_18" rangeCreator="" othersAccessPermission="edit"/>
    <arrUserId title="区域1_1_1_2_28" rangeCreator="" othersAccessPermission="edit"/>
    <arrUserId title="区域1_1_22" rangeCreator="" othersAccessPermission="edit"/>
    <arrUserId title="区域1_1_1_1_29" rangeCreator="" othersAccessPermission="edit"/>
    <arrUserId title="区域1_1_1_22" rangeCreator="" othersAccessPermission="edit"/>
    <arrUserId title="区域1_1_1_2_29" rangeCreator="" othersAccessPermission="edit"/>
    <arrUserId title="区域1_7_7" rangeCreator="" othersAccessPermission="edit"/>
    <arrUserId title="区域1_1_7" rangeCreator="" othersAccessPermission="edit"/>
    <arrUserId title="区域1_1_1_1_30" rangeCreator="" othersAccessPermission="edit"/>
    <arrUserId title="区域1_1_1_7" rangeCreator="" othersAccessPermission="edit"/>
    <arrUserId title="区域1_1_1_2_30" rangeCreator="" othersAccessPermission="edit"/>
  </rangeList>
  <rangeList sheetStid="11" master="">
    <arrUserId title="区域1_3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_1" rangeCreator="" othersAccessPermission="edit"/>
    <arrUserId title="区域1_3_1_2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" rangeCreator="" othersAccessPermission="edit"/>
    <arrUserId title="区域1_3_2" rangeCreator="" othersAccessPermission="edit"/>
    <arrUserId title="区域1_3_2_1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1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_1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_1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2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_1" rangeCreator="" othersAccessPermission="edit"/>
    <arrUserId title="区域1_5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1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_3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" rangeCreator="" othersAccessPermission="edit"/>
    <arrUserId title="区域1_4_1_1_1" rangeCreator="" othersAccessPermission="edit"/>
    <arrUserId title="区域1_5_2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_1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1_2" rangeCreator="" othersAccessPermission="edit"/>
    <arrUserId title="区域1_1_1_2_2" rangeCreator="" othersAccessPermission="edit"/>
    <arrUserId title="区域1_1_4" rangeCreator="" othersAccessPermission="edit"/>
    <arrUserId title="区域1_1_1_1_3" rangeCreator="" othersAccessPermission="edit"/>
    <arrUserId title="区域1_1_1_4_1_1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6" rangeCreator="" othersAccessPermission="edit"/>
    <arrUserId title="区域1_1_1_1_5" rangeCreator="" othersAccessPermission="edit"/>
    <arrUserId title="区域1_1_1_6" rangeCreator="" othersAccessPermission="edit"/>
    <arrUserId title="区域1_1_1_2_5" rangeCreator="" othersAccessPermission="edit"/>
    <arrUserId title="区域1_7_3" rangeCreator="" othersAccessPermission="edit"/>
    <arrUserId title="区域1_1_1_1_6" rangeCreator="" othersAccessPermission="edit"/>
    <arrUserId title="区域1_1_1_2_6" rangeCreator="" othersAccessPermission="edit"/>
    <arrUserId title="区域1_1_8" rangeCreator="" othersAccessPermission="edit"/>
    <arrUserId title="区域1_1_1_1_7" rangeCreator="" othersAccessPermission="edit"/>
    <arrUserId title="区域1_1_1_8" rangeCreator="" othersAccessPermission="edit"/>
    <arrUserId title="区域1_1_1_2_7" rangeCreator="" othersAccessPermission="edit"/>
    <arrUserId title="区域1_7_4" rangeCreator="" othersAccessPermission="edit"/>
    <arrUserId title="区域1_1_9" rangeCreator="" othersAccessPermission="edit"/>
    <arrUserId title="区域1_1_1_1_8" rangeCreator="" othersAccessPermission="edit"/>
    <arrUserId title="区域1_1_1_9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10" rangeCreator="" othersAccessPermission="edit"/>
    <arrUserId title="区域1_1_12" rangeCreator="" othersAccessPermission="edit"/>
    <arrUserId title="区域1_1_1_1_11" rangeCreator="" othersAccessPermission="edit"/>
    <arrUserId title="区域1_1_1_12" rangeCreator="" othersAccessPermission="edit"/>
    <arrUserId title="区域1_1_1_2_11" rangeCreator="" othersAccessPermission="edit"/>
    <arrUserId title="区域1_1_13" rangeCreator="" othersAccessPermission="edit"/>
    <arrUserId title="区域1_1_1_1_12" rangeCreator="" othersAccessPermission="edit"/>
    <arrUserId title="区域1_1_1_13" rangeCreator="" othersAccessPermission="edit"/>
    <arrUserId title="区域1_1_1_2_12" rangeCreator="" othersAccessPermission="edit"/>
    <arrUserId title="区域1_1_14" rangeCreator="" othersAccessPermission="edit"/>
    <arrUserId title="区域1_1_1_1_13" rangeCreator="" othersAccessPermission="edit"/>
    <arrUserId title="区域1_1_1_14" rangeCreator="" othersAccessPermission="edit"/>
    <arrUserId title="区域1_1_1_2_13" rangeCreator="" othersAccessPermission="edit"/>
    <arrUserId title="区域1_7_5" rangeCreator="" othersAccessPermission="edit"/>
    <arrUserId title="区域1_1_15" rangeCreator="" othersAccessPermission="edit"/>
    <arrUserId title="区域1_1_1_1_14" rangeCreator="" othersAccessPermission="edit"/>
    <arrUserId title="区域1_1_1_15" rangeCreator="" othersAccessPermission="edit"/>
    <arrUserId title="区域1_1_1_2_14" rangeCreator="" othersAccessPermission="edit"/>
    <arrUserId title="区域1_7_6" rangeCreator="" othersAccessPermission="edit"/>
    <arrUserId title="区域1_1_16" rangeCreator="" othersAccessPermission="edit"/>
    <arrUserId title="区域1_1_1_1_15" rangeCreator="" othersAccessPermission="edit"/>
    <arrUserId title="区域1_1_1_16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8" rangeCreator="" othersAccessPermission="edit"/>
    <arrUserId title="区域1_1_1_1_17" rangeCreator="" othersAccessPermission="edit"/>
    <arrUserId title="区域1_1_1_18" rangeCreator="" othersAccessPermission="edit"/>
    <arrUserId title="区域1_1_1_2_17" rangeCreator="" othersAccessPermission="edit"/>
    <arrUserId title="区域1_1_19" rangeCreator="" othersAccessPermission="edit"/>
    <arrUserId title="区域1_1_1_1_18" rangeCreator="" othersAccessPermission="edit"/>
    <arrUserId title="区域1_1_1_19" rangeCreator="" othersAccessPermission="edit"/>
    <arrUserId title="区域1_1_1_2_18" rangeCreator="" othersAccessPermission="edit"/>
    <arrUserId title="区域1_1_7" rangeCreator="" othersAccessPermission="edit"/>
    <arrUserId title="区域1_1_1_1_19" rangeCreator="" othersAccessPermission="edit"/>
    <arrUserId title="区域1_1_1_7" rangeCreator="" othersAccessPermission="edit"/>
    <arrUserId title="区域1_1_1_2_19" rangeCreator="" othersAccessPermission="edit"/>
    <arrUserId title="区域1_1_20" rangeCreator="" othersAccessPermission="edit"/>
    <arrUserId title="区域1_1_1_1_20" rangeCreator="" othersAccessPermission="edit"/>
    <arrUserId title="区域1_1_1_20" rangeCreator="" othersAccessPermission="edit"/>
    <arrUserId title="区域1_1_1_2_20" rangeCreator="" othersAccessPermission="edit"/>
  </rangeList>
  <rangeList sheetStid="12" master="">
    <arrUserId title="区域1_3_2" rangeCreator="" othersAccessPermission="edit"/>
    <arrUserId title="区域1_3_1_1_2_1" rangeCreator="" othersAccessPermission="edit"/>
    <arrUserId title="区域1_1_1_2" rangeCreator="" othersAccessPermission="edit"/>
    <arrUserId title="区域1_3_1_1_1" rangeCreator="" othersAccessPermission="edit"/>
    <arrUserId title="区域1_8" rangeCreator="" othersAccessPermission="edit"/>
    <arrUserId title="区域1_3_1_3" rangeCreator="" othersAccessPermission="edit"/>
    <arrUserId title="区域1_3_2_2" rangeCreator="" othersAccessPermission="edit"/>
    <arrUserId title="区域1_3_1_1_3_1" rangeCreator="" othersAccessPermission="edit"/>
    <arrUserId title="区域1_3_2_1_1" rangeCreator="" othersAccessPermission="edit"/>
    <arrUserId title="区域1_8_2_1_1" rangeCreator="" othersAccessPermission="edit"/>
    <arrUserId title="区域1_1_1" rangeCreator="" othersAccessPermission="edit"/>
    <arrUserId title="区域1_4" rangeCreator="" othersAccessPermission="edit"/>
    <arrUserId title="区域1_8_1" rangeCreator="" othersAccessPermission="edit"/>
    <arrUserId title="区域1_3_2_1" rangeCreator="" othersAccessPermission="edit"/>
    <arrUserId title="区域1_3_2_1_2" rangeCreator="" othersAccessPermission="edit"/>
    <arrUserId title="区域1_1" rangeCreator="" othersAccessPermission="edit"/>
    <arrUserId title="区域1_1_1_1" rangeCreator="" othersAccessPermission="edit"/>
    <arrUserId title="区域1_8_1_2" rangeCreator="" othersAccessPermission="edit"/>
    <arrUserId title="区域1_6_1" rangeCreator="" othersAccessPermission="edit"/>
    <arrUserId title="区域1" rangeCreator="" othersAccessPermission="edit"/>
    <arrUserId title="区域1_5_1" rangeCreator="" othersAccessPermission="edit"/>
    <arrUserId title="区域1_3_1_1_1_2" rangeCreator="" othersAccessPermission="edit"/>
    <arrUserId title="区域1_8_1_3" rangeCreator="" othersAccessPermission="edit"/>
    <arrUserId title="区域1_2_2" rangeCreator="" othersAccessPermission="edit"/>
    <arrUserId title="区域1_8_1_3_1" rangeCreator="" othersAccessPermission="edit"/>
    <arrUserId title="区域1_1_1_3" rangeCreator="" othersAccessPermission="edit"/>
    <arrUserId title="区域1_3_1_1_3_1_1" rangeCreator="" othersAccessPermission="edit"/>
    <arrUserId title="区域1_2_1_1" rangeCreator="" othersAccessPermission="edit"/>
    <arrUserId title="区域1_7_1" rangeCreator="" othersAccessPermission="edit"/>
    <arrUserId title="区域1_4_2" rangeCreator="" othersAccessPermission="edit"/>
    <arrUserId title="区域1_9" rangeCreator="" othersAccessPermission="edit"/>
    <arrUserId title="区域1_11" rangeCreator="" othersAccessPermission="edit"/>
    <arrUserId title="区域1_12" rangeCreator="" othersAccessPermission="edit"/>
    <arrUserId title="区域1_13" rangeCreator="" othersAccessPermission="edit"/>
    <arrUserId title="区域1_15" rangeCreator="" othersAccessPermission="edit"/>
    <arrUserId title="区域1_17" rangeCreator="" othersAccessPermission="edit"/>
    <arrUserId title="区域1_3" rangeCreator="" othersAccessPermission="edit"/>
    <arrUserId title="区域1_3_1_1_2_1_1" rangeCreator="" othersAccessPermission="edit"/>
    <arrUserId title="区域1_1_1_2_1" rangeCreator="" othersAccessPermission="edit"/>
    <arrUserId title="区域1_3_1_1_1_1" rangeCreator="" othersAccessPermission="edit"/>
    <arrUserId title="区域1_8_1_1" rangeCreator="" othersAccessPermission="edit"/>
    <arrUserId title="区域1_3_1_2" rangeCreator="" othersAccessPermission="edit"/>
    <arrUserId title="区域1_3_2_2_1" rangeCreator="" othersAccessPermission="edit"/>
    <arrUserId title="区域1_3_1_1_3_1_2" rangeCreator="" othersAccessPermission="edit"/>
    <arrUserId title="区域1_3_2_1_1_1" rangeCreator="" othersAccessPermission="edit"/>
    <arrUserId title="区域1_8_2_1_1_1" rangeCreator="" othersAccessPermission="edit"/>
    <arrUserId title="区域1_1_1_4" rangeCreator="" othersAccessPermission="edit"/>
    <arrUserId title="区域1_4_1" rangeCreator="" othersAccessPermission="edit"/>
    <arrUserId title="区域1_8_2" rangeCreator="" othersAccessPermission="edit"/>
    <arrUserId title="区域1_3_2_3" rangeCreator="" othersAccessPermission="edit"/>
    <arrUserId title="区域1_3_2_1_3" rangeCreator="" othersAccessPermission="edit"/>
    <arrUserId title="区域1_1_2" rangeCreator="" othersAccessPermission="edit"/>
    <arrUserId title="区域1_1_1_1_1" rangeCreator="" othersAccessPermission="edit"/>
    <arrUserId title="区域1_8_1_2_1" rangeCreator="" othersAccessPermission="edit"/>
    <arrUserId title="区域1_6_1_1" rangeCreator="" othersAccessPermission="edit"/>
    <arrUserId title="区域1_2" rangeCreator="" othersAccessPermission="edit"/>
    <arrUserId title="区域1_5_1_1" rangeCreator="" othersAccessPermission="edit"/>
    <arrUserId title="区域1_3_1_1_1_2_1" rangeCreator="" othersAccessPermission="edit"/>
    <arrUserId title="区域1_8_1_3_2" rangeCreator="" othersAccessPermission="edit"/>
    <arrUserId title="区域1_2_1" rangeCreator="" othersAccessPermission="edit"/>
    <arrUserId title="区域1_8_1_3_1_1" rangeCreator="" othersAccessPermission="edit"/>
    <arrUserId title="区域1_1_1_3_1" rangeCreator="" othersAccessPermission="edit"/>
    <arrUserId title="区域1_3_1_1_3_1_1_1" rangeCreator="" othersAccessPermission="edit"/>
    <arrUserId title="区域1_2_1_1_1" rangeCreator="" othersAccessPermission="edit"/>
    <arrUserId title="区域1_7_1_1" rangeCreator="" othersAccessPermission="edit"/>
    <arrUserId title="区域1_4_2_1" rangeCreator="" othersAccessPermission="edit"/>
    <arrUserId title="区域1_9_1" rangeCreator="" othersAccessPermission="edit"/>
    <arrUserId title="区域1_11_1" rangeCreator="" othersAccessPermission="edit"/>
    <arrUserId title="区域1_12_1" rangeCreator="" othersAccessPermission="edit"/>
    <arrUserId title="区域1_13_1" rangeCreator="" othersAccessPermission="edit"/>
    <arrUserId title="区域1_15_1" rangeCreator="" othersAccessPermission="edit"/>
    <arrUserId title="区域1_17_1" rangeCreator="" othersAccessPermission="edit"/>
    <arrUserId title="区域1_1_2_1" rangeCreator="" othersAccessPermission="edit"/>
    <arrUserId title="区域1_1_1_4_1" rangeCreator="" othersAccessPermission="edit"/>
    <arrUserId title="区域1_8_1_1_1" rangeCreator="" othersAccessPermission="edit"/>
    <arrUserId title="区域1_4_1_1" rangeCreator="" othersAccessPermission="edit"/>
    <arrUserId title="区域1_3_1_1" rangeCreator="" othersAccessPermission="edit"/>
    <arrUserId title="区域1_8_2_1" rangeCreator="" othersAccessPermission="edit"/>
    <arrUserId title="区域1_3_1" rangeCreator="" othersAccessPermission="edit"/>
    <arrUserId title="区域1_3_2_3_1" rangeCreator="" othersAccessPermission="edit"/>
    <arrUserId title="区域1_3_1_1_3" rangeCreator="" othersAccessPermission="edit"/>
    <arrUserId title="区域1_3_2_1_2_1" rangeCreator="" othersAccessPermission="edit"/>
    <arrUserId title="区域1_8_2_1_2" rangeCreator="" othersAccessPermission="edit"/>
    <arrUserId title="区域1_1_3" rangeCreator="" othersAccessPermission="edit"/>
    <arrUserId title="区域1_6" rangeCreator="" othersAccessPermission="edit"/>
    <arrUserId title="区域1_1_1_1_1_1" rangeCreator="" othersAccessPermission="edit"/>
    <arrUserId title="区域1_3_1_1_1_1_1" rangeCreator="" othersAccessPermission="edit"/>
    <arrUserId title="区域1_8_1_2_1_1" rangeCreator="" othersAccessPermission="edit"/>
    <arrUserId title="区域1_1_1_2_1_1" rangeCreator="" othersAccessPermission="edit"/>
    <arrUserId title="区域1_6_1_2" rangeCreator="" othersAccessPermission="edit"/>
    <arrUserId title="区域1_4_1_1_1" rangeCreator="" othersAccessPermission="edit"/>
    <arrUserId title="区域1_5" rangeCreator="" othersAccessPermission="edit"/>
    <arrUserId title="区域1_2_1_2" rangeCreator="" othersAccessPermission="edit"/>
    <arrUserId title="区域1_5_1_1_1" rangeCreator="" othersAccessPermission="edit"/>
    <arrUserId title="区域1_7" rangeCreator="" othersAccessPermission="edit"/>
    <arrUserId title="区域1_3_1_1_1_3" rangeCreator="" othersAccessPermission="edit"/>
    <arrUserId title="区域1_1_3_1" rangeCreator="" othersAccessPermission="edit"/>
    <arrUserId title="区域1_8_1_4" rangeCreator="" othersAccessPermission="edit"/>
    <arrUserId title="区域1_1_1_1_1_1_1" rangeCreator="" othersAccessPermission="edit"/>
    <arrUserId title="区域1_2_1_3" rangeCreator="" othersAccessPermission="edit"/>
    <arrUserId title="区域1_3_1_1_1_2_1_1" rangeCreator="" othersAccessPermission="edit"/>
    <arrUserId title="区域1_8_1_3_2_1" rangeCreator="" othersAccessPermission="edit"/>
    <arrUserId title="区域1_3_1_1_2" rangeCreator="" othersAccessPermission="edit"/>
    <arrUserId title="区域1_1_1_3_1_1" rangeCreator="" othersAccessPermission="edit"/>
    <arrUserId title="区域1_8_2_2" rangeCreator="" othersAccessPermission="edit"/>
    <arrUserId title="区域1_3_1_1_3_1_2_1" rangeCreator="" othersAccessPermission="edit"/>
    <arrUserId title="区域1_1_1_2_1_1_1" rangeCreator="" othersAccessPermission="edit"/>
    <arrUserId title="区域1_2_1_3_1" rangeCreator="" othersAccessPermission="edit"/>
    <arrUserId title="区域1_5_2" rangeCreator="" othersAccessPermission="edit"/>
    <arrUserId title="区域1_7_1_1_1" rangeCreator="" othersAccessPermission="edit"/>
    <arrUserId title="区域1_8_2_1_1_1_1" rangeCreator="" othersAccessPermission="edit"/>
    <arrUserId title="区域1_4_2_1_1" rangeCreator="" othersAccessPermission="edit"/>
    <arrUserId title="区域1_3_3" rangeCreator="" othersAccessPermission="edit"/>
    <arrUserId title="区域1_9_1_1" rangeCreator="" othersAccessPermission="edit"/>
    <arrUserId title="区域1_10" rangeCreator="" othersAccessPermission="edit"/>
    <arrUserId title="区域1_3_3_1" rangeCreator="" othersAccessPermission="edit"/>
    <arrUserId title="区域1_12_1_1" rangeCreator="" othersAccessPermission="edit"/>
    <arrUserId title="区域1_6_2" rangeCreator="" othersAccessPermission="edit"/>
    <arrUserId title="区域1_13_1_1" rangeCreator="" othersAccessPermission="edit"/>
    <arrUserId title="区域1_14" rangeCreator="" othersAccessPermission="edit"/>
    <arrUserId title="区域1_15_1_1" rangeCreator="" othersAccessPermission="edit"/>
    <arrUserId title="区域1_16" rangeCreator="" othersAccessPermission="edit"/>
    <arrUserId title="区域1_17_1_1" rangeCreator="" othersAccessPermission="edit"/>
    <arrUserId title="区域1_18" rangeCreator="" othersAccessPermission="edit"/>
    <arrUserId title="区域1_1_1_1_2" rangeCreator="" othersAccessPermission="edit"/>
    <arrUserId title="区域1_1_1_2_2" rangeCreator="" othersAccessPermission="edit"/>
    <arrUserId title="区域1_1_4" rangeCreator="" othersAccessPermission="edit"/>
    <arrUserId title="区域1_1_1_1_3" rangeCreator="" othersAccessPermission="edit"/>
    <arrUserId title="区域1_1_1_4_1_1" rangeCreator="" othersAccessPermission="edit"/>
    <arrUserId title="区域1_1_1_2_3" rangeCreator="" othersAccessPermission="edit"/>
    <arrUserId title="区域1_7_2" rangeCreator="" othersAccessPermission="edit"/>
    <arrUserId title="区域1_1_5" rangeCreator="" othersAccessPermission="edit"/>
    <arrUserId title="区域1_1_1_1_4" rangeCreator="" othersAccessPermission="edit"/>
    <arrUserId title="区域1_1_1_5" rangeCreator="" othersAccessPermission="edit"/>
    <arrUserId title="区域1_1_1_2_4" rangeCreator="" othersAccessPermission="edit"/>
    <arrUserId title="区域1_1_6" rangeCreator="" othersAccessPermission="edit"/>
    <arrUserId title="区域1_1_1_1_5" rangeCreator="" othersAccessPermission="edit"/>
    <arrUserId title="区域1_1_1_6" rangeCreator="" othersAccessPermission="edit"/>
    <arrUserId title="区域1_1_1_2_5" rangeCreator="" othersAccessPermission="edit"/>
    <arrUserId title="区域1_7_3" rangeCreator="" othersAccessPermission="edit"/>
    <arrUserId title="区域1_1_7" rangeCreator="" othersAccessPermission="edit"/>
    <arrUserId title="区域1_1_1_1_6" rangeCreator="" othersAccessPermission="edit"/>
    <arrUserId title="区域1_1_1_7" rangeCreator="" othersAccessPermission="edit"/>
    <arrUserId title="区域1_1_1_2_6" rangeCreator="" othersAccessPermission="edit"/>
    <arrUserId title="区域1_1_8" rangeCreator="" othersAccessPermission="edit"/>
    <arrUserId title="区域1_1_1_1_7" rangeCreator="" othersAccessPermission="edit"/>
    <arrUserId title="区域1_1_1_8" rangeCreator="" othersAccessPermission="edit"/>
    <arrUserId title="区域1_1_1_2_7" rangeCreator="" othersAccessPermission="edit"/>
    <arrUserId title="区域1_7_4" rangeCreator="" othersAccessPermission="edit"/>
    <arrUserId title="区域1_1_9" rangeCreator="" othersAccessPermission="edit"/>
    <arrUserId title="区域1_1_1_1_8" rangeCreator="" othersAccessPermission="edit"/>
    <arrUserId title="区域1_1_1_9" rangeCreator="" othersAccessPermission="edit"/>
    <arrUserId title="区域1_1_1_2_8" rangeCreator="" othersAccessPermission="edit"/>
    <arrUserId title="区域1_1_10" rangeCreator="" othersAccessPermission="edit"/>
    <arrUserId title="区域1_1_1_1_9" rangeCreator="" othersAccessPermission="edit"/>
    <arrUserId title="区域1_1_1_10" rangeCreator="" othersAccessPermission="edit"/>
    <arrUserId title="区域1_1_1_2_9" rangeCreator="" othersAccessPermission="edit"/>
    <arrUserId title="区域1_1_11" rangeCreator="" othersAccessPermission="edit"/>
    <arrUserId title="区域1_1_1_1_10" rangeCreator="" othersAccessPermission="edit"/>
    <arrUserId title="区域1_1_1_11" rangeCreator="" othersAccessPermission="edit"/>
    <arrUserId title="区域1_1_1_2_10" rangeCreator="" othersAccessPermission="edit"/>
    <arrUserId title="区域1_1_12" rangeCreator="" othersAccessPermission="edit"/>
    <arrUserId title="区域1_1_1_1_11" rangeCreator="" othersAccessPermission="edit"/>
    <arrUserId title="区域1_1_1_12" rangeCreator="" othersAccessPermission="edit"/>
    <arrUserId title="区域1_1_1_2_11" rangeCreator="" othersAccessPermission="edit"/>
    <arrUserId title="区域1_1_13" rangeCreator="" othersAccessPermission="edit"/>
    <arrUserId title="区域1_1_1_1_12" rangeCreator="" othersAccessPermission="edit"/>
    <arrUserId title="区域1_1_1_13" rangeCreator="" othersAccessPermission="edit"/>
    <arrUserId title="区域1_1_1_2_12" rangeCreator="" othersAccessPermission="edit"/>
    <arrUserId title="区域1_1_14" rangeCreator="" othersAccessPermission="edit"/>
    <arrUserId title="区域1_1_1_1_13" rangeCreator="" othersAccessPermission="edit"/>
    <arrUserId title="区域1_1_1_14" rangeCreator="" othersAccessPermission="edit"/>
    <arrUserId title="区域1_1_1_2_13" rangeCreator="" othersAccessPermission="edit"/>
    <arrUserId title="区域1_7_5" rangeCreator="" othersAccessPermission="edit"/>
    <arrUserId title="区域1_1_15" rangeCreator="" othersAccessPermission="edit"/>
    <arrUserId title="区域1_1_1_1_14" rangeCreator="" othersAccessPermission="edit"/>
    <arrUserId title="区域1_1_1_15" rangeCreator="" othersAccessPermission="edit"/>
    <arrUserId title="区域1_1_1_2_14" rangeCreator="" othersAccessPermission="edit"/>
    <arrUserId title="区域1_7_6" rangeCreator="" othersAccessPermission="edit"/>
    <arrUserId title="区域1_1_16" rangeCreator="" othersAccessPermission="edit"/>
    <arrUserId title="区域1_1_1_1_15" rangeCreator="" othersAccessPermission="edit"/>
    <arrUserId title="区域1_1_1_16" rangeCreator="" othersAccessPermission="edit"/>
    <arrUserId title="区域1_1_1_2_15" rangeCreator="" othersAccessPermission="edit"/>
    <arrUserId title="区域1_1_17" rangeCreator="" othersAccessPermission="edit"/>
    <arrUserId title="区域1_1_1_1_16" rangeCreator="" othersAccessPermission="edit"/>
    <arrUserId title="区域1_1_1_17" rangeCreator="" othersAccessPermission="edit"/>
    <arrUserId title="区域1_1_1_2_16" rangeCreator="" othersAccessPermission="edit"/>
    <arrUserId title="区域1_1_18" rangeCreator="" othersAccessPermission="edit"/>
    <arrUserId title="区域1_1_1_1_17" rangeCreator="" othersAccessPermission="edit"/>
    <arrUserId title="区域1_1_1_18" rangeCreator="" othersAccessPermission="edit"/>
    <arrUserId title="区域1_1_1_2_17" rangeCreator="" othersAccessPermission="edit"/>
    <arrUserId title="区域1_1_19" rangeCreator="" othersAccessPermission="edit"/>
    <arrUserId title="区域1_1_1_1_18" rangeCreator="" othersAccessPermission="edit"/>
    <arrUserId title="区域1_1_1_19" rangeCreator="" othersAccessPermission="edit"/>
    <arrUserId title="区域1_1_1_2_18" rangeCreator="" othersAccessPermission="edit"/>
  </rangeList>
  <rangeList sheetStid="13" master="">
    <arrUserId title="区域1_1_1_1" rangeCreator="" othersAccessPermission="edit"/>
    <arrUserId title="区域1_2" rangeCreator="" othersAccessPermission="edit"/>
    <arrUserId title="区域1_3_1_1_1" rangeCreator="" othersAccessPermission="edit"/>
    <arrUserId title="区域1_3_1" rangeCreator="" othersAccessPermission="edit"/>
    <arrUserId title="区域1_8_1" rangeCreator="" othersAccessPermission="edit"/>
    <arrUserId title="区域1_3_1_1_2" rangeCreator="" othersAccessPermission="edit"/>
    <arrUserId title="区域1_1" rangeCreator="" othersAccessPermission="edit"/>
    <arrUserId title="区域1_3" rangeCreator="" othersAccessPermission="edit"/>
    <arrUserId title="区域1_6_1" rangeCreator="" othersAccessPermission="edit"/>
    <arrUserId title="区域1_8" rangeCreator="" othersAccessPermission="edit"/>
    <arrUserId title="区域1_4_1" rangeCreator="" othersAccessPermission="edit"/>
    <arrUserId title="区域1_3_1_1" rangeCreator="" othersAccessPermission="edit"/>
    <arrUserId title="区域1" rangeCreator="" othersAccessPermission="edit"/>
    <arrUserId title="区域1_1_1" rangeCreator="" othersAccessPermission="edit"/>
    <arrUserId title="区域1_2_1" rangeCreator="" othersAccessPermission="edit"/>
    <arrUserId title="区域1_3_2" rangeCreator="" othersAccessPermission="edit"/>
    <arrUserId title="区域1_5" rangeCreator="" othersAccessPermission="edit"/>
    <arrUserId title="区域1_6" rangeCreator="" othersAccessPermission="edit"/>
    <arrUserId title="区域1_7" rangeCreator="" othersAccessPermission="edit"/>
    <arrUserId title="区域1_8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全年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cp:lastPrinted>2022-05-10T04:39:00Z</cp:lastPrinted>
  <dcterms:modified xsi:type="dcterms:W3CDTF">2022-11-30T02:29:18Z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20CF7F9389B3404BABD10A01E7025A61</vt:lpwstr>
  </property>
  <property fmtid="{D5CDD505-2E9C-101B-9397-08002B2CF9AE}" pid="3" name="KSOProductBuildVer">
    <vt:lpwstr>2052-11.1.0.12358</vt:lpwstr>
  </property>
  <property fmtid="{D5CDD505-2E9C-101B-9397-08002B2CF9AE}" pid="4" name="KSOReadingLayout">
    <vt:bool>true</vt:bool>
  </property>
</Properties>
</file>