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3050"/>
  </bookViews>
  <sheets>
    <sheet name="1" sheetId="1" r:id="rId1"/>
  </sheets>
  <definedNames>
    <definedName name="_xlnm.Print_Area" localSheetId="0">'1'!$A$1:$V$35</definedName>
  </definedNames>
  <calcPr calcId="144525"/>
</workbook>
</file>

<file path=xl/sharedStrings.xml><?xml version="1.0" encoding="utf-8"?>
<sst xmlns="http://schemas.openxmlformats.org/spreadsheetml/2006/main" count="27" uniqueCount="27">
  <si>
    <t>年   月超声工作量</t>
  </si>
  <si>
    <t>姓名</t>
  </si>
  <si>
    <t>体检例数</t>
  </si>
  <si>
    <t>腔内超声检查</t>
  </si>
  <si>
    <t>图文报告</t>
  </si>
  <si>
    <t>超声检查正常(包括双胎)</t>
  </si>
  <si>
    <t>双胎加收</t>
  </si>
  <si>
    <t>三维</t>
  </si>
  <si>
    <t xml:space="preserve">超声检查(胎儿系统)
</t>
  </si>
  <si>
    <t xml:space="preserve">胎儿心脏超声
</t>
  </si>
  <si>
    <t>残余尿测定</t>
  </si>
  <si>
    <t xml:space="preserve">床旁彩超
</t>
  </si>
  <si>
    <t xml:space="preserve">床旁彩超加收
</t>
  </si>
  <si>
    <t>B超常规检查</t>
  </si>
  <si>
    <t xml:space="preserve">脏器声学造影
</t>
  </si>
  <si>
    <t>临床操作超声引导</t>
  </si>
  <si>
    <t>弹性成像</t>
  </si>
  <si>
    <t>误时工作量例数</t>
  </si>
  <si>
    <t>疑难病例会诊例数</t>
  </si>
  <si>
    <t>夜班例数</t>
  </si>
  <si>
    <t>扣罚金额</t>
  </si>
  <si>
    <t>例数合计</t>
  </si>
  <si>
    <t>单工作量合计</t>
  </si>
  <si>
    <t>例数合计
（工作量+体检）</t>
  </si>
  <si>
    <t>合计（工作量+体检）</t>
  </si>
  <si>
    <t>50-500</t>
  </si>
  <si>
    <t>合计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</si>
</sst>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7">
    <font>
      <sz val="11"/>
      <color theme="1"/>
      <name val="Calibri"/>
      <charset val="134"/>
      <scheme val="minor"/>
    </font>
    <font>
      <b/>
      <sz val="18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0"/>
      <name val="宋体"/>
      <charset val="134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indexed="8"/>
      <name val="宋体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89013336588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15" applyNumberFormat="1" applyFont="1" applyFill="1" applyBorder="1" applyAlignment="1" applyProtection="1">
      <alignment horizontal="center" wrapText="1"/>
    </xf>
    <xf numFmtId="0" fontId="2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15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2" fillId="2" borderId="1" xfId="15" applyNumberFormat="1" applyFont="1" applyFill="1" applyBorder="1" applyAlignment="1" applyProtection="1">
      <alignment horizontal="center" vertical="center" wrapText="1"/>
    </xf>
    <xf numFmtId="0" fontId="2" fillId="2" borderId="1" xfId="15" applyNumberFormat="1" applyFont="1" applyFill="1" applyBorder="1" applyAlignment="1" applyProtection="1">
      <alignment horizontal="center" vertical="center" wrapText="1"/>
    </xf>
    <xf numFmtId="49" fontId="5" fillId="3" borderId="1" xfId="15" applyNumberFormat="1" applyFont="1" applyFill="1" applyBorder="1" applyAlignment="1" applyProtection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center" vertical="center" wrapText="1"/>
    </xf>
    <xf numFmtId="49" fontId="3" fillId="2" borderId="1" xfId="15" applyNumberFormat="1" applyFont="1" applyFill="1" applyBorder="1" applyAlignment="1" applyProtection="1">
      <alignment horizontal="center" vertical="center" wrapText="1"/>
    </xf>
    <xf numFmtId="49" fontId="6" fillId="2" borderId="1" xfId="15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15" applyNumberFormat="1" applyFont="1" applyFill="1" applyBorder="1" applyAlignment="1" applyProtection="1">
      <alignment horizontal="center" vertical="center" wrapText="1"/>
    </xf>
    <xf numFmtId="1" fontId="0" fillId="0" borderId="1" xfId="0" applyNumberFormat="1" applyFont="1" applyFill="1" applyBorder="1" applyAlignment="1" applyProtection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常规 2" xfId="15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37"/>
  <sheetViews>
    <sheetView tabSelected="1" zoomScale="85" zoomScaleNormal="85" workbookViewId="0">
      <selection activeCell="Z8" sqref="Z8"/>
    </sheetView>
  </sheetViews>
  <sheetFormatPr defaultColWidth="9.62857142857143" defaultRowHeight="15"/>
  <cols>
    <col min="1" max="1" width="9.62857142857143" style="1"/>
    <col min="2" max="6" width="6.62857142857143" style="1" customWidth="1"/>
    <col min="7" max="7" width="5.87619047619048" style="1" customWidth="1"/>
    <col min="8" max="21" width="6.62857142857143" style="1" customWidth="1"/>
    <col min="22" max="22" width="8.62857142857143" style="1" customWidth="1"/>
    <col min="23" max="16384" width="9.62857142857143" style="1"/>
  </cols>
  <sheetData>
    <row r="1" s="1" customFormat="1" ht="25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="1" customFormat="1" ht="69" customHeight="1" spans="1:2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16" t="s">
        <v>10</v>
      </c>
      <c r="K2" s="6" t="s">
        <v>11</v>
      </c>
      <c r="L2" s="6" t="s">
        <v>12</v>
      </c>
      <c r="M2" s="17" t="s">
        <v>13</v>
      </c>
      <c r="N2" s="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8" t="s">
        <v>21</v>
      </c>
      <c r="V2" s="19" t="s">
        <v>22</v>
      </c>
      <c r="W2" s="18" t="s">
        <v>23</v>
      </c>
      <c r="X2" s="19" t="s">
        <v>24</v>
      </c>
    </row>
    <row r="3" s="2" customFormat="1" ht="17" customHeight="1" spans="1:24">
      <c r="A3" s="7"/>
      <c r="B3" s="5">
        <v>99</v>
      </c>
      <c r="C3" s="8">
        <v>132</v>
      </c>
      <c r="D3" s="8">
        <v>5.5</v>
      </c>
      <c r="E3" s="8">
        <v>99</v>
      </c>
      <c r="F3" s="8">
        <v>55</v>
      </c>
      <c r="G3" s="8">
        <v>264</v>
      </c>
      <c r="H3" s="9">
        <v>310</v>
      </c>
      <c r="I3" s="9">
        <v>286</v>
      </c>
      <c r="J3" s="9">
        <v>55</v>
      </c>
      <c r="K3" s="9">
        <v>132</v>
      </c>
      <c r="L3" s="9">
        <v>33</v>
      </c>
      <c r="M3" s="9">
        <v>27.5</v>
      </c>
      <c r="N3" s="9">
        <v>143</v>
      </c>
      <c r="O3" s="9">
        <v>143</v>
      </c>
      <c r="P3" s="9">
        <v>55</v>
      </c>
      <c r="Q3" s="20"/>
      <c r="R3" s="9">
        <v>20</v>
      </c>
      <c r="S3" s="9">
        <v>50</v>
      </c>
      <c r="T3" s="21" t="s">
        <v>25</v>
      </c>
      <c r="U3" s="18"/>
      <c r="V3" s="19"/>
      <c r="W3" s="18"/>
      <c r="X3" s="19"/>
    </row>
    <row r="4" s="1" customFormat="1" ht="18" customHeight="1" spans="1:24">
      <c r="A4" s="10">
        <v>1</v>
      </c>
      <c r="B4" s="11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22"/>
      <c r="R4" s="23"/>
      <c r="S4" s="23"/>
      <c r="T4" s="23"/>
      <c r="U4" s="23">
        <f>SUM(C4:P4)-D4</f>
        <v>0</v>
      </c>
      <c r="V4" s="24">
        <f>C4*$C$3+D4*$D$3+E4*$E$3+F4*$F$3+G4*$G$3+H4*$H$3+I4*$I$3+J4*$J$3+K4*$K$3+L4*$L$3+M4*$M$3+N4*$N$3+O4*$O$3+P4*$P$3</f>
        <v>0</v>
      </c>
      <c r="W4" s="23">
        <f>SUM(B4:P4)</f>
        <v>0</v>
      </c>
      <c r="X4" s="24">
        <f>B4*99+C4*$C$3+D4*$D$3+E4*$E$3+F4*$F$3+G4*$G$3+H4*$H$3+I4*$I$3+J4*$J$3+K4*$K$3+L4*$L$3+M4*$M$3+N4*$N$3+O4*$O$3+P4*$P$3</f>
        <v>0</v>
      </c>
    </row>
    <row r="5" s="1" customFormat="1" ht="18" customHeight="1" spans="1:24">
      <c r="A5" s="10">
        <v>2</v>
      </c>
      <c r="B5" s="11"/>
      <c r="C5" s="11"/>
      <c r="D5" s="12">
        <v>70</v>
      </c>
      <c r="E5" s="11">
        <v>65</v>
      </c>
      <c r="F5" s="11"/>
      <c r="G5" s="11">
        <v>5</v>
      </c>
      <c r="H5" s="11"/>
      <c r="I5" s="11"/>
      <c r="J5" s="11">
        <v>1</v>
      </c>
      <c r="K5" s="11"/>
      <c r="L5" s="11"/>
      <c r="M5" s="11"/>
      <c r="N5" s="11"/>
      <c r="O5" s="11"/>
      <c r="P5" s="11"/>
      <c r="Q5" s="12"/>
      <c r="R5" s="12"/>
      <c r="S5" s="12"/>
      <c r="T5" s="12"/>
      <c r="U5" s="23">
        <f t="shared" ref="U5:U36" si="0">SUM(C5:P5)-D5</f>
        <v>71</v>
      </c>
      <c r="V5" s="24">
        <f t="shared" ref="V5:V36" si="1">C5*$C$3+D5*$D$3+E5*$E$3+F5*$F$3+G5*$G$3+H5*$H$3+I5*$I$3+J5*$J$3+K5*$K$3+L5*$L$3+M5*$M$3+N5*$N$3+O5*$O$3+P5*$P$3</f>
        <v>8195</v>
      </c>
      <c r="W5" s="23">
        <f t="shared" ref="W5:W36" si="2">SUM(B5:P5)</f>
        <v>141</v>
      </c>
      <c r="X5" s="24">
        <f t="shared" ref="X5:X36" si="3">B5*99+C5*$C$3+D5*$D$3+E5*$E$3+F5*$F$3+G5*$G$3+H5*$H$3+I5*$I$3+J5*$J$3+K5*$K$3+L5*$L$3+M5*$M$3+N5*$N$3+O5*$O$3+P5*$P$3</f>
        <v>8195</v>
      </c>
    </row>
    <row r="6" s="1" customFormat="1" ht="18" customHeight="1" spans="1:24">
      <c r="A6" s="10">
        <v>3</v>
      </c>
      <c r="B6" s="11"/>
      <c r="C6" s="11"/>
      <c r="D6" s="12">
        <v>74</v>
      </c>
      <c r="E6" s="11">
        <v>69</v>
      </c>
      <c r="F6" s="11"/>
      <c r="G6" s="11">
        <v>5</v>
      </c>
      <c r="H6" s="11"/>
      <c r="I6" s="11"/>
      <c r="J6" s="11">
        <v>1</v>
      </c>
      <c r="K6" s="11"/>
      <c r="L6" s="11"/>
      <c r="M6" s="11"/>
      <c r="N6" s="11"/>
      <c r="O6" s="11"/>
      <c r="P6" s="11"/>
      <c r="Q6" s="12"/>
      <c r="R6" s="12"/>
      <c r="S6" s="12"/>
      <c r="T6" s="12"/>
      <c r="U6" s="23">
        <f t="shared" si="0"/>
        <v>75</v>
      </c>
      <c r="V6" s="24">
        <f t="shared" si="1"/>
        <v>8613</v>
      </c>
      <c r="W6" s="23">
        <f t="shared" si="2"/>
        <v>149</v>
      </c>
      <c r="X6" s="24">
        <f t="shared" si="3"/>
        <v>8613</v>
      </c>
    </row>
    <row r="7" s="1" customFormat="1" ht="18" customHeight="1" spans="1:24">
      <c r="A7" s="10">
        <v>4</v>
      </c>
      <c r="B7" s="11"/>
      <c r="C7" s="11"/>
      <c r="D7" s="12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12"/>
      <c r="S7" s="12"/>
      <c r="T7" s="12"/>
      <c r="U7" s="23">
        <f t="shared" si="0"/>
        <v>0</v>
      </c>
      <c r="V7" s="24">
        <f t="shared" si="1"/>
        <v>0</v>
      </c>
      <c r="W7" s="23">
        <f t="shared" si="2"/>
        <v>0</v>
      </c>
      <c r="X7" s="24">
        <f t="shared" si="3"/>
        <v>0</v>
      </c>
    </row>
    <row r="8" s="1" customFormat="1" ht="18" customHeight="1" spans="1:24">
      <c r="A8" s="10">
        <v>5</v>
      </c>
      <c r="B8" s="11"/>
      <c r="C8" s="11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2"/>
      <c r="S8" s="12"/>
      <c r="T8" s="12"/>
      <c r="U8" s="23">
        <f t="shared" si="0"/>
        <v>0</v>
      </c>
      <c r="V8" s="24">
        <f t="shared" si="1"/>
        <v>0</v>
      </c>
      <c r="W8" s="23">
        <f t="shared" si="2"/>
        <v>0</v>
      </c>
      <c r="X8" s="24">
        <f t="shared" si="3"/>
        <v>0</v>
      </c>
    </row>
    <row r="9" s="1" customFormat="1" ht="18" customHeight="1" spans="1:24">
      <c r="A9" s="10">
        <v>6</v>
      </c>
      <c r="B9" s="11"/>
      <c r="C9" s="11"/>
      <c r="D9" s="1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23">
        <f t="shared" si="0"/>
        <v>0</v>
      </c>
      <c r="V9" s="24">
        <f t="shared" si="1"/>
        <v>0</v>
      </c>
      <c r="W9" s="23">
        <f t="shared" si="2"/>
        <v>0</v>
      </c>
      <c r="X9" s="24">
        <f t="shared" si="3"/>
        <v>0</v>
      </c>
    </row>
    <row r="10" s="1" customFormat="1" ht="18" customHeight="1" spans="1:24">
      <c r="A10" s="10">
        <v>7</v>
      </c>
      <c r="B10" s="11"/>
      <c r="C10" s="11">
        <v>3</v>
      </c>
      <c r="D10" s="12">
        <v>26</v>
      </c>
      <c r="E10" s="11">
        <v>23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23">
        <f t="shared" si="0"/>
        <v>26</v>
      </c>
      <c r="V10" s="24">
        <f t="shared" si="1"/>
        <v>2816</v>
      </c>
      <c r="W10" s="23">
        <f t="shared" si="2"/>
        <v>52</v>
      </c>
      <c r="X10" s="24">
        <f t="shared" si="3"/>
        <v>2816</v>
      </c>
    </row>
    <row r="11" s="1" customFormat="1" ht="18" customHeight="1" spans="1:24">
      <c r="A11" s="10">
        <v>8</v>
      </c>
      <c r="B11" s="11"/>
      <c r="C11" s="11"/>
      <c r="D11" s="1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2"/>
      <c r="S11" s="12"/>
      <c r="T11" s="12"/>
      <c r="U11" s="23">
        <f t="shared" si="0"/>
        <v>0</v>
      </c>
      <c r="V11" s="24">
        <f t="shared" si="1"/>
        <v>0</v>
      </c>
      <c r="W11" s="23">
        <f t="shared" si="2"/>
        <v>0</v>
      </c>
      <c r="X11" s="24">
        <f t="shared" si="3"/>
        <v>0</v>
      </c>
    </row>
    <row r="12" s="1" customFormat="1" ht="18" customHeight="1" spans="1:24">
      <c r="A12" s="10">
        <v>9</v>
      </c>
      <c r="B12" s="11"/>
      <c r="C12" s="11"/>
      <c r="D12" s="12">
        <v>24</v>
      </c>
      <c r="E12" s="11">
        <v>25</v>
      </c>
      <c r="F12" s="11"/>
      <c r="G12" s="11"/>
      <c r="H12" s="11"/>
      <c r="I12" s="11"/>
      <c r="J12" s="11"/>
      <c r="K12" s="11"/>
      <c r="L12" s="11">
        <v>6</v>
      </c>
      <c r="M12" s="11"/>
      <c r="N12" s="11"/>
      <c r="O12" s="11"/>
      <c r="P12" s="11"/>
      <c r="Q12" s="12"/>
      <c r="R12" s="12"/>
      <c r="S12" s="12"/>
      <c r="T12" s="12"/>
      <c r="U12" s="23">
        <f t="shared" si="0"/>
        <v>31</v>
      </c>
      <c r="V12" s="24">
        <f t="shared" si="1"/>
        <v>2805</v>
      </c>
      <c r="W12" s="23">
        <f t="shared" si="2"/>
        <v>55</v>
      </c>
      <c r="X12" s="24">
        <f t="shared" si="3"/>
        <v>2805</v>
      </c>
    </row>
    <row r="13" s="1" customFormat="1" ht="18" customHeight="1" spans="1:24">
      <c r="A13" s="10">
        <v>10</v>
      </c>
      <c r="B13" s="11">
        <v>181</v>
      </c>
      <c r="C13" s="11"/>
      <c r="D13" s="12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2"/>
      <c r="S13" s="12"/>
      <c r="T13" s="12"/>
      <c r="U13" s="23">
        <f t="shared" si="0"/>
        <v>0</v>
      </c>
      <c r="V13" s="24">
        <f t="shared" si="1"/>
        <v>0</v>
      </c>
      <c r="W13" s="23">
        <f t="shared" si="2"/>
        <v>181</v>
      </c>
      <c r="X13" s="24">
        <f t="shared" si="3"/>
        <v>17919</v>
      </c>
    </row>
    <row r="14" s="1" customFormat="1" ht="18" customHeight="1" spans="1:24">
      <c r="A14" s="10">
        <v>11</v>
      </c>
      <c r="B14" s="11"/>
      <c r="C14" s="11"/>
      <c r="D14" s="12">
        <v>36</v>
      </c>
      <c r="E14" s="11">
        <v>35</v>
      </c>
      <c r="F14" s="11"/>
      <c r="G14" s="11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2"/>
      <c r="S14" s="12"/>
      <c r="T14" s="12"/>
      <c r="U14" s="23">
        <f t="shared" si="0"/>
        <v>36</v>
      </c>
      <c r="V14" s="24">
        <f t="shared" si="1"/>
        <v>3927</v>
      </c>
      <c r="W14" s="23">
        <f t="shared" si="2"/>
        <v>72</v>
      </c>
      <c r="X14" s="24">
        <f t="shared" si="3"/>
        <v>3927</v>
      </c>
    </row>
    <row r="15" s="1" customFormat="1" ht="18" customHeight="1" spans="1:24">
      <c r="A15" s="10">
        <v>12</v>
      </c>
      <c r="B15" s="11"/>
      <c r="C15" s="11"/>
      <c r="D15" s="12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2"/>
      <c r="T15" s="12"/>
      <c r="U15" s="23">
        <f t="shared" si="0"/>
        <v>0</v>
      </c>
      <c r="V15" s="24">
        <f t="shared" si="1"/>
        <v>0</v>
      </c>
      <c r="W15" s="23">
        <f t="shared" si="2"/>
        <v>0</v>
      </c>
      <c r="X15" s="24">
        <f t="shared" si="3"/>
        <v>0</v>
      </c>
    </row>
    <row r="16" s="1" customFormat="1" ht="18" customHeight="1" spans="1:24">
      <c r="A16" s="10">
        <v>13</v>
      </c>
      <c r="B16" s="11"/>
      <c r="C16" s="11"/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2"/>
      <c r="T16" s="12"/>
      <c r="U16" s="23">
        <f t="shared" si="0"/>
        <v>0</v>
      </c>
      <c r="V16" s="24">
        <f t="shared" si="1"/>
        <v>0</v>
      </c>
      <c r="W16" s="23">
        <f t="shared" si="2"/>
        <v>0</v>
      </c>
      <c r="X16" s="24">
        <f t="shared" si="3"/>
        <v>0</v>
      </c>
    </row>
    <row r="17" s="1" customFormat="1" ht="18" customHeight="1" spans="1:24">
      <c r="A17" s="10">
        <v>14</v>
      </c>
      <c r="B17" s="11">
        <v>7</v>
      </c>
      <c r="C17" s="11"/>
      <c r="D17" s="12">
        <v>50</v>
      </c>
      <c r="E17" s="11">
        <v>44</v>
      </c>
      <c r="F17" s="11"/>
      <c r="G17" s="11">
        <v>6</v>
      </c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2"/>
      <c r="T17" s="12"/>
      <c r="U17" s="23">
        <f t="shared" si="0"/>
        <v>50</v>
      </c>
      <c r="V17" s="24">
        <f t="shared" si="1"/>
        <v>6215</v>
      </c>
      <c r="W17" s="23">
        <f t="shared" si="2"/>
        <v>107</v>
      </c>
      <c r="X17" s="24">
        <f t="shared" si="3"/>
        <v>6908</v>
      </c>
    </row>
    <row r="18" s="1" customFormat="1" ht="18" customHeight="1" spans="1:24">
      <c r="A18" s="10">
        <v>15</v>
      </c>
      <c r="B18" s="11"/>
      <c r="C18" s="11"/>
      <c r="D18" s="12">
        <v>81</v>
      </c>
      <c r="E18" s="11">
        <v>66</v>
      </c>
      <c r="F18" s="11"/>
      <c r="G18" s="11">
        <v>15</v>
      </c>
      <c r="H18" s="11"/>
      <c r="I18" s="11"/>
      <c r="J18" s="11">
        <v>1</v>
      </c>
      <c r="K18" s="11"/>
      <c r="L18" s="11"/>
      <c r="M18" s="11"/>
      <c r="N18" s="11"/>
      <c r="O18" s="11"/>
      <c r="P18" s="11"/>
      <c r="Q18" s="12"/>
      <c r="R18" s="12"/>
      <c r="S18" s="12"/>
      <c r="T18" s="12"/>
      <c r="U18" s="23">
        <f t="shared" si="0"/>
        <v>82</v>
      </c>
      <c r="V18" s="24">
        <f t="shared" si="1"/>
        <v>10994.5</v>
      </c>
      <c r="W18" s="23">
        <f t="shared" si="2"/>
        <v>163</v>
      </c>
      <c r="X18" s="24">
        <f t="shared" si="3"/>
        <v>10994.5</v>
      </c>
    </row>
    <row r="19" s="1" customFormat="1" ht="18" customHeight="1" spans="1:24">
      <c r="A19" s="10">
        <v>16</v>
      </c>
      <c r="B19" s="11"/>
      <c r="C19" s="11"/>
      <c r="D19" s="12">
        <v>53</v>
      </c>
      <c r="E19" s="11">
        <v>50</v>
      </c>
      <c r="F19" s="11"/>
      <c r="G19" s="11">
        <v>3</v>
      </c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2"/>
      <c r="S19" s="12"/>
      <c r="T19" s="12"/>
      <c r="U19" s="23">
        <f t="shared" si="0"/>
        <v>53</v>
      </c>
      <c r="V19" s="24">
        <f t="shared" si="1"/>
        <v>6033.5</v>
      </c>
      <c r="W19" s="23">
        <f t="shared" si="2"/>
        <v>106</v>
      </c>
      <c r="X19" s="24">
        <f t="shared" si="3"/>
        <v>6033.5</v>
      </c>
    </row>
    <row r="20" s="1" customFormat="1" ht="18" customHeight="1" spans="1:24">
      <c r="A20" s="10">
        <v>17</v>
      </c>
      <c r="B20" s="11"/>
      <c r="C20" s="11">
        <v>2</v>
      </c>
      <c r="D20" s="12">
        <v>25</v>
      </c>
      <c r="E20" s="11">
        <v>21</v>
      </c>
      <c r="F20" s="11"/>
      <c r="G20" s="11">
        <v>1</v>
      </c>
      <c r="H20" s="11"/>
      <c r="I20" s="11"/>
      <c r="J20" s="11"/>
      <c r="K20" s="11"/>
      <c r="L20" s="11">
        <v>1</v>
      </c>
      <c r="M20" s="11"/>
      <c r="N20" s="11"/>
      <c r="O20" s="11"/>
      <c r="P20" s="11"/>
      <c r="Q20" s="12"/>
      <c r="R20" s="12"/>
      <c r="S20" s="12"/>
      <c r="T20" s="12"/>
      <c r="U20" s="23">
        <f t="shared" si="0"/>
        <v>25</v>
      </c>
      <c r="V20" s="24">
        <f t="shared" si="1"/>
        <v>2777.5</v>
      </c>
      <c r="W20" s="23">
        <f t="shared" si="2"/>
        <v>50</v>
      </c>
      <c r="X20" s="24">
        <f t="shared" si="3"/>
        <v>2777.5</v>
      </c>
    </row>
    <row r="21" s="1" customFormat="1" ht="18" customHeight="1" spans="1:24">
      <c r="A21" s="10">
        <v>18</v>
      </c>
      <c r="B21" s="11"/>
      <c r="C21" s="11"/>
      <c r="D21" s="1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2"/>
      <c r="T21" s="12"/>
      <c r="U21" s="23">
        <f t="shared" si="0"/>
        <v>0</v>
      </c>
      <c r="V21" s="24">
        <f t="shared" si="1"/>
        <v>0</v>
      </c>
      <c r="W21" s="23">
        <f t="shared" si="2"/>
        <v>0</v>
      </c>
      <c r="X21" s="24">
        <f t="shared" si="3"/>
        <v>0</v>
      </c>
    </row>
    <row r="22" s="1" customFormat="1" ht="18" customHeight="1" spans="1:24">
      <c r="A22" s="10">
        <v>19</v>
      </c>
      <c r="B22" s="11"/>
      <c r="C22" s="11"/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2"/>
      <c r="S22" s="12"/>
      <c r="T22" s="12"/>
      <c r="U22" s="23">
        <f t="shared" si="0"/>
        <v>0</v>
      </c>
      <c r="V22" s="24">
        <f t="shared" si="1"/>
        <v>0</v>
      </c>
      <c r="W22" s="23">
        <f t="shared" si="2"/>
        <v>0</v>
      </c>
      <c r="X22" s="24">
        <f t="shared" si="3"/>
        <v>0</v>
      </c>
    </row>
    <row r="23" s="1" customFormat="1" ht="18" customHeight="1" spans="1:24">
      <c r="A23" s="10">
        <v>20</v>
      </c>
      <c r="B23" s="11"/>
      <c r="C23" s="11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2"/>
      <c r="T23" s="12"/>
      <c r="U23" s="23">
        <f t="shared" si="0"/>
        <v>0</v>
      </c>
      <c r="V23" s="24">
        <f t="shared" si="1"/>
        <v>0</v>
      </c>
      <c r="W23" s="23">
        <f t="shared" si="2"/>
        <v>0</v>
      </c>
      <c r="X23" s="24">
        <f t="shared" si="3"/>
        <v>0</v>
      </c>
    </row>
    <row r="24" s="1" customFormat="1" ht="18" customHeight="1" spans="1:24">
      <c r="A24" s="10">
        <v>21</v>
      </c>
      <c r="B24" s="11"/>
      <c r="C24" s="11"/>
      <c r="D24" s="12">
        <v>53</v>
      </c>
      <c r="E24" s="11">
        <v>53</v>
      </c>
      <c r="F24" s="11"/>
      <c r="G24" s="11"/>
      <c r="H24" s="11"/>
      <c r="I24" s="11"/>
      <c r="J24" s="11">
        <v>3</v>
      </c>
      <c r="K24" s="11"/>
      <c r="L24" s="11"/>
      <c r="M24" s="11"/>
      <c r="N24" s="11"/>
      <c r="O24" s="11"/>
      <c r="P24" s="11"/>
      <c r="Q24" s="12"/>
      <c r="R24" s="12"/>
      <c r="S24" s="12"/>
      <c r="T24" s="12"/>
      <c r="U24" s="23">
        <f t="shared" si="0"/>
        <v>56</v>
      </c>
      <c r="V24" s="24">
        <f t="shared" si="1"/>
        <v>5703.5</v>
      </c>
      <c r="W24" s="23">
        <f t="shared" si="2"/>
        <v>109</v>
      </c>
      <c r="X24" s="24">
        <f t="shared" si="3"/>
        <v>5703.5</v>
      </c>
    </row>
    <row r="25" s="1" customFormat="1" ht="18" customHeight="1" spans="1:24">
      <c r="A25" s="10">
        <v>22</v>
      </c>
      <c r="B25" s="11"/>
      <c r="C25" s="11"/>
      <c r="D25" s="12">
        <v>19</v>
      </c>
      <c r="E25" s="11">
        <v>22</v>
      </c>
      <c r="F25" s="11"/>
      <c r="G25" s="11"/>
      <c r="H25" s="11"/>
      <c r="I25" s="11"/>
      <c r="J25" s="11"/>
      <c r="K25" s="11"/>
      <c r="L25" s="11">
        <v>9</v>
      </c>
      <c r="M25" s="11"/>
      <c r="N25" s="11"/>
      <c r="O25" s="11"/>
      <c r="P25" s="11"/>
      <c r="Q25" s="12"/>
      <c r="R25" s="12"/>
      <c r="S25" s="12"/>
      <c r="T25" s="12"/>
      <c r="U25" s="23">
        <f t="shared" si="0"/>
        <v>31</v>
      </c>
      <c r="V25" s="24">
        <f t="shared" si="1"/>
        <v>2579.5</v>
      </c>
      <c r="W25" s="23">
        <f t="shared" si="2"/>
        <v>50</v>
      </c>
      <c r="X25" s="24">
        <f t="shared" si="3"/>
        <v>2579.5</v>
      </c>
    </row>
    <row r="26" s="1" customFormat="1" ht="18" customHeight="1" spans="1:24">
      <c r="A26" s="10">
        <v>23</v>
      </c>
      <c r="B26" s="11">
        <v>95</v>
      </c>
      <c r="C26" s="11"/>
      <c r="D26" s="1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2"/>
      <c r="S26" s="12"/>
      <c r="T26" s="12"/>
      <c r="U26" s="23">
        <f t="shared" si="0"/>
        <v>0</v>
      </c>
      <c r="V26" s="24">
        <f t="shared" si="1"/>
        <v>0</v>
      </c>
      <c r="W26" s="23">
        <f t="shared" si="2"/>
        <v>95</v>
      </c>
      <c r="X26" s="24">
        <f t="shared" si="3"/>
        <v>9405</v>
      </c>
    </row>
    <row r="27" s="1" customFormat="1" ht="18" customHeight="1" spans="1:24">
      <c r="A27" s="10">
        <v>24</v>
      </c>
      <c r="B27" s="11"/>
      <c r="C27" s="11"/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12"/>
      <c r="S27" s="12"/>
      <c r="T27" s="12"/>
      <c r="U27" s="23">
        <f t="shared" si="0"/>
        <v>0</v>
      </c>
      <c r="V27" s="24">
        <f t="shared" si="1"/>
        <v>0</v>
      </c>
      <c r="W27" s="23">
        <f t="shared" si="2"/>
        <v>0</v>
      </c>
      <c r="X27" s="24">
        <f t="shared" si="3"/>
        <v>0</v>
      </c>
    </row>
    <row r="28" s="1" customFormat="1" ht="18" customHeight="1" spans="1:24">
      <c r="A28" s="10">
        <v>25</v>
      </c>
      <c r="B28" s="11"/>
      <c r="C28" s="11"/>
      <c r="D28" s="12">
        <v>36</v>
      </c>
      <c r="E28" s="11">
        <v>33</v>
      </c>
      <c r="F28" s="11"/>
      <c r="G28" s="11">
        <v>3</v>
      </c>
      <c r="H28" s="11"/>
      <c r="I28" s="11"/>
      <c r="J28" s="11">
        <v>1</v>
      </c>
      <c r="K28" s="11"/>
      <c r="L28" s="11"/>
      <c r="M28" s="11"/>
      <c r="N28" s="11"/>
      <c r="O28" s="11"/>
      <c r="P28" s="11"/>
      <c r="Q28" s="12"/>
      <c r="R28" s="12"/>
      <c r="S28" s="12"/>
      <c r="T28" s="12"/>
      <c r="U28" s="23">
        <f t="shared" si="0"/>
        <v>37</v>
      </c>
      <c r="V28" s="24">
        <f t="shared" si="1"/>
        <v>4312</v>
      </c>
      <c r="W28" s="23">
        <f t="shared" si="2"/>
        <v>73</v>
      </c>
      <c r="X28" s="24">
        <f t="shared" si="3"/>
        <v>4312</v>
      </c>
    </row>
    <row r="29" s="1" customFormat="1" ht="18" customHeight="1" spans="1:24">
      <c r="A29" s="10">
        <v>26</v>
      </c>
      <c r="B29" s="11"/>
      <c r="C29" s="11"/>
      <c r="D29" s="1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/>
      <c r="R29" s="12"/>
      <c r="S29" s="12"/>
      <c r="T29" s="12"/>
      <c r="U29" s="23">
        <f t="shared" si="0"/>
        <v>0</v>
      </c>
      <c r="V29" s="24">
        <f t="shared" si="1"/>
        <v>0</v>
      </c>
      <c r="W29" s="23">
        <f t="shared" si="2"/>
        <v>0</v>
      </c>
      <c r="X29" s="24">
        <f t="shared" si="3"/>
        <v>0</v>
      </c>
    </row>
    <row r="30" s="1" customFormat="1" ht="18" customHeight="1" spans="1:24">
      <c r="A30" s="10">
        <v>27</v>
      </c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12"/>
      <c r="S30" s="12"/>
      <c r="T30" s="12"/>
      <c r="U30" s="23">
        <f t="shared" si="0"/>
        <v>0</v>
      </c>
      <c r="V30" s="24">
        <f t="shared" si="1"/>
        <v>0</v>
      </c>
      <c r="W30" s="23">
        <f t="shared" si="2"/>
        <v>0</v>
      </c>
      <c r="X30" s="24">
        <f t="shared" si="3"/>
        <v>0</v>
      </c>
    </row>
    <row r="31" s="1" customFormat="1" ht="18" customHeight="1" spans="1:24">
      <c r="A31" s="10">
        <v>28</v>
      </c>
      <c r="B31" s="11"/>
      <c r="C31" s="11"/>
      <c r="D31" s="12">
        <v>49</v>
      </c>
      <c r="E31" s="11">
        <v>46</v>
      </c>
      <c r="F31" s="11"/>
      <c r="G31" s="11">
        <v>3</v>
      </c>
      <c r="H31" s="11"/>
      <c r="I31" s="11"/>
      <c r="J31" s="11">
        <v>2</v>
      </c>
      <c r="K31" s="11"/>
      <c r="L31" s="11"/>
      <c r="M31" s="11"/>
      <c r="N31" s="11"/>
      <c r="O31" s="11"/>
      <c r="P31" s="11"/>
      <c r="Q31" s="12"/>
      <c r="R31" s="12"/>
      <c r="S31" s="12"/>
      <c r="T31" s="12"/>
      <c r="U31" s="23">
        <f t="shared" si="0"/>
        <v>51</v>
      </c>
      <c r="V31" s="24">
        <f t="shared" si="1"/>
        <v>5725.5</v>
      </c>
      <c r="W31" s="23">
        <f t="shared" si="2"/>
        <v>100</v>
      </c>
      <c r="X31" s="24">
        <f t="shared" si="3"/>
        <v>5725.5</v>
      </c>
    </row>
    <row r="32" s="1" customFormat="1" ht="18" customHeight="1" spans="1:24">
      <c r="A32" s="10">
        <v>29</v>
      </c>
      <c r="B32" s="11"/>
      <c r="C32" s="11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12"/>
      <c r="S32" s="12"/>
      <c r="T32" s="12"/>
      <c r="U32" s="23">
        <f t="shared" si="0"/>
        <v>0</v>
      </c>
      <c r="V32" s="24">
        <f t="shared" si="1"/>
        <v>0</v>
      </c>
      <c r="W32" s="23">
        <f t="shared" si="2"/>
        <v>0</v>
      </c>
      <c r="X32" s="24">
        <f t="shared" si="3"/>
        <v>0</v>
      </c>
    </row>
    <row r="33" s="1" customFormat="1" ht="18" customHeight="1" spans="1:24">
      <c r="A33" s="10">
        <v>30</v>
      </c>
      <c r="B33" s="11"/>
      <c r="C33" s="11">
        <v>1</v>
      </c>
      <c r="D33" s="12">
        <v>12</v>
      </c>
      <c r="E33" s="11">
        <v>10</v>
      </c>
      <c r="F33" s="11"/>
      <c r="G33" s="11">
        <v>1</v>
      </c>
      <c r="H33" s="11"/>
      <c r="I33" s="11"/>
      <c r="J33" s="11"/>
      <c r="K33" s="11"/>
      <c r="L33" s="11">
        <v>1</v>
      </c>
      <c r="M33" s="11"/>
      <c r="N33" s="11"/>
      <c r="O33" s="11"/>
      <c r="P33" s="11"/>
      <c r="Q33" s="12"/>
      <c r="R33" s="12"/>
      <c r="S33" s="12"/>
      <c r="T33" s="12"/>
      <c r="U33" s="23">
        <f t="shared" si="0"/>
        <v>13</v>
      </c>
      <c r="V33" s="24">
        <f t="shared" si="1"/>
        <v>1485</v>
      </c>
      <c r="W33" s="23">
        <f t="shared" si="2"/>
        <v>25</v>
      </c>
      <c r="X33" s="24">
        <f t="shared" si="3"/>
        <v>1485</v>
      </c>
    </row>
    <row r="34" s="1" customFormat="1" ht="18" customHeight="1" spans="1:24">
      <c r="A34" s="10">
        <v>31</v>
      </c>
      <c r="B34" s="11"/>
      <c r="C34" s="11"/>
      <c r="D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12"/>
      <c r="S34" s="12"/>
      <c r="T34" s="12"/>
      <c r="U34" s="23">
        <f t="shared" si="0"/>
        <v>0</v>
      </c>
      <c r="V34" s="24">
        <f t="shared" si="1"/>
        <v>0</v>
      </c>
      <c r="W34" s="23">
        <f t="shared" si="2"/>
        <v>0</v>
      </c>
      <c r="X34" s="24">
        <f t="shared" si="3"/>
        <v>0</v>
      </c>
    </row>
    <row r="35" s="1" customFormat="1" ht="18" customHeight="1" spans="1:24">
      <c r="A35" s="13" t="s">
        <v>26</v>
      </c>
      <c r="B35" s="14">
        <f t="shared" ref="B35:L35" si="4">SUM(B4:B34)</f>
        <v>283</v>
      </c>
      <c r="C35" s="15">
        <f t="shared" si="4"/>
        <v>6</v>
      </c>
      <c r="D35" s="15">
        <f t="shared" si="4"/>
        <v>608</v>
      </c>
      <c r="E35" s="15">
        <f t="shared" si="4"/>
        <v>562</v>
      </c>
      <c r="F35" s="15">
        <f t="shared" si="4"/>
        <v>0</v>
      </c>
      <c r="G35" s="15">
        <f t="shared" si="4"/>
        <v>43</v>
      </c>
      <c r="H35" s="15">
        <f t="shared" si="4"/>
        <v>0</v>
      </c>
      <c r="I35" s="15">
        <f t="shared" si="4"/>
        <v>0</v>
      </c>
      <c r="J35" s="15">
        <f t="shared" si="4"/>
        <v>9</v>
      </c>
      <c r="K35" s="15">
        <f t="shared" si="4"/>
        <v>0</v>
      </c>
      <c r="L35" s="15">
        <f t="shared" si="4"/>
        <v>17</v>
      </c>
      <c r="M35" s="15">
        <f t="shared" ref="M35:V35" si="5">SUM(M4:M34)</f>
        <v>0</v>
      </c>
      <c r="N35" s="15">
        <f t="shared" si="5"/>
        <v>0</v>
      </c>
      <c r="O35" s="15">
        <f t="shared" si="5"/>
        <v>0</v>
      </c>
      <c r="P35" s="15">
        <f t="shared" si="5"/>
        <v>0</v>
      </c>
      <c r="Q35" s="15">
        <f t="shared" si="5"/>
        <v>0</v>
      </c>
      <c r="R35" s="15">
        <f t="shared" si="5"/>
        <v>0</v>
      </c>
      <c r="S35" s="15">
        <f t="shared" si="5"/>
        <v>0</v>
      </c>
      <c r="T35" s="15">
        <f t="shared" si="5"/>
        <v>0</v>
      </c>
      <c r="U35" s="23">
        <f t="shared" si="0"/>
        <v>637</v>
      </c>
      <c r="V35" s="24">
        <f t="shared" si="1"/>
        <v>72182</v>
      </c>
      <c r="W35" s="23">
        <f t="shared" si="2"/>
        <v>1528</v>
      </c>
      <c r="X35" s="24">
        <f t="shared" si="3"/>
        <v>100199</v>
      </c>
    </row>
    <row r="36" s="1" customFormat="1" ht="21" customHeight="1"/>
    <row r="37" s="1" customFormat="1" ht="21" customHeight="1"/>
  </sheetData>
  <protectedRanges>
    <protectedRange sqref="R4:T4 Q5:T33 M4:M33" name="区域1_3_1_1"/>
    <protectedRange sqref="E34:G35" name="区域1_1"/>
    <protectedRange sqref="H4:H16" name="区域1_3"/>
    <protectedRange sqref="J4:M33" name="区域1_6"/>
    <protectedRange sqref="N4:P33" name="区域1_8"/>
    <protectedRange sqref="E34:G35" name="区域1_1_1_1"/>
    <protectedRange sqref="E4:G33" name="区域1_2"/>
    <protectedRange sqref="R4:T4 Q5:T33 M4:M33" name="区域1_3_1_1_1"/>
    <protectedRange sqref="H4:H16" name="区域1_3_1"/>
    <protectedRange sqref="N4:P33" name="区域1_8_1"/>
    <protectedRange sqref="R4:T4 Q5:T33 M4:M33" name="区域1_3_1_1_2"/>
    <protectedRange sqref="E34:G35" name="区域1_1_1"/>
    <protectedRange sqref="H4:H16" name="区域1_3_2"/>
    <protectedRange sqref="J4:M33" name="区域1_6_1"/>
    <protectedRange sqref="N4:P33" name="区域1_8_2"/>
    <protectedRange sqref="D4:D33" name="区域1_4_1"/>
    <protectedRange sqref="R4:T4 Q5:T33 M4:M33" name="区域1_3_1_1_3"/>
    <protectedRange sqref="B4:C33" name="区域1"/>
    <protectedRange sqref="E34:G35" name="区域1_1_1_2"/>
    <protectedRange sqref="E4:G33" name="区域1_2_1"/>
    <protectedRange sqref="H4:H16" name="区域1_3_2_1"/>
    <protectedRange sqref="I4:I16" name="区域1_5"/>
    <protectedRange sqref="J4:M33" name="区域1_6_2"/>
    <protectedRange sqref="N34:P35" name="区域1_7"/>
    <protectedRange sqref="N4:P33" name="区域1_8_2_1"/>
  </protectedRanges>
  <mergeCells count="6">
    <mergeCell ref="A1:X1"/>
    <mergeCell ref="A2:A3"/>
    <mergeCell ref="U2:U3"/>
    <mergeCell ref="V2:V3"/>
    <mergeCell ref="W2:W3"/>
    <mergeCell ref="X2:X3"/>
  </mergeCells>
  <printOptions horizontalCentered="1"/>
  <pageMargins left="0.196527777777778" right="0.196527777777778" top="0.156944444444444" bottom="0.196527777777778" header="0.314583333333333" footer="0.0388888888888889"/>
  <pageSetup paperSize="9" scale="85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3_1_1" rangeCreator="" othersAccessPermission="edit"/>
    <arrUserId title="区域1_1" rangeCreator="" othersAccessPermission="edit"/>
    <arrUserId title="区域1_3" rangeCreator="" othersAccessPermission="edit"/>
    <arrUserId title="区域1_6" rangeCreator="" othersAccessPermission="edit"/>
    <arrUserId title="区域1_8" rangeCreator="" othersAccessPermission="edit"/>
    <arrUserId title="区域1_1_1_1" rangeCreator="" othersAccessPermission="edit"/>
    <arrUserId title="区域1_2" rangeCreator="" othersAccessPermission="edit"/>
    <arrUserId title="区域1_3_1_1_1" rangeCreator="" othersAccessPermission="edit"/>
    <arrUserId title="区域1_3_1" rangeCreator="" othersAccessPermission="edit"/>
    <arrUserId title="区域1_8_1" rangeCreator="" othersAccessPermission="edit"/>
    <arrUserId title="区域1_3_1_1_2" rangeCreator="" othersAccessPermission="edit"/>
    <arrUserId title="区域1_1_1" rangeCreator="" othersAccessPermission="edit"/>
    <arrUserId title="区域1_3_2" rangeCreator="" othersAccessPermission="edit"/>
    <arrUserId title="区域1_6_1" rangeCreator="" othersAccessPermission="edit"/>
    <arrUserId title="区域1_8_2" rangeCreator="" othersAccessPermission="edit"/>
    <arrUserId title="区域1_4_1" rangeCreator="" othersAccessPermission="edit"/>
    <arrUserId title="区域1_3_1_1_3" rangeCreator="" othersAccessPermission="edit"/>
    <arrUserId title="区域1" rangeCreator="" othersAccessPermission="edit"/>
    <arrUserId title="区域1_1_1_2" rangeCreator="" othersAccessPermission="edit"/>
    <arrUserId title="区域1_2_1" rangeCreator="" othersAccessPermission="edit"/>
    <arrUserId title="区域1_3_2_1" rangeCreator="" othersAccessPermission="edit"/>
    <arrUserId title="区域1_5" rangeCreator="" othersAccessPermission="edit"/>
    <arrUserId title="区域1_6_2" rangeCreator="" othersAccessPermission="edit"/>
    <arrUserId title="区域1_7" rangeCreator="" othersAccessPermission="edit"/>
    <arrUserId title="区域1_8_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jzk</cp:lastModifiedBy>
  <dcterms:created xsi:type="dcterms:W3CDTF">2006-09-16T00:00:00Z</dcterms:created>
  <dcterms:modified xsi:type="dcterms:W3CDTF">2022-11-30T17:50:52Z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20CF7F9389B3404BABD10A01E7025A61</vt:lpwstr>
  </property>
  <property fmtid="{D5CDD505-2E9C-101B-9397-08002B2CF9AE}" pid="3" name="KSOProductBuildVer">
    <vt:lpwstr>1033-11.2.0.11306</vt:lpwstr>
  </property>
</Properties>
</file>